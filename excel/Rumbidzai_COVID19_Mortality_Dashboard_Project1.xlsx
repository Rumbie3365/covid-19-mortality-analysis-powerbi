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412ec3269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ba26d2e2c0b4a96"/>
    <x:sheet xmlns:r="http://schemas.openxmlformats.org/officeDocument/2006/relationships" name="Country_Summary" sheetId="2" r:id="R7b7115e45803457e"/>
    <x:sheet xmlns:r="http://schemas.openxmlformats.org/officeDocument/2006/relationships" name="Region_Summary" sheetId="3" r:id="R0010c86fa6f14492"/>
    <x:sheet xmlns:r="http://schemas.openxmlformats.org/officeDocument/2006/relationships" name="Global_Monthly" sheetId="4" r:id="Ra30e3bc1444e48ec"/>
    <x:sheet xmlns:r="http://schemas.openxmlformats.org/officeDocument/2006/relationships" name="Zimbabwe_Monthly" sheetId="5" r:id="Rac888f912b9e46b0"/>
    <x:sheet xmlns:r="http://schemas.openxmlformats.org/officeDocument/2006/relationships" name="Chart_Data" sheetId="6" r:id="Rf241f9af3f7145e9"/>
    <x:sheet xmlns:r="http://schemas.openxmlformats.org/officeDocument/2006/relationships" name="About_and_Instructions" sheetId="7" r:id="Rbe53b44a7799490d"/>
    <x:sheet xmlns:r="http://schemas.openxmlformats.org/officeDocument/2006/relationships" name="SQL_Queries" sheetId="8" r:id="R1d6e1128406c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0%"/>
    <x:numFmt numFmtId="203" formatCode="mmm yyyy"/>
    <x:numFmt numFmtId="204" formatCode="@"/>
  </x:numFmts>
  <x:fonts count="16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0"/>
      <x:name val="Consolas"/>
    </x:font>
    <x:font>
      <x:b/>
      <x:sz val="18"/>
      <x:color rgb="FFFFFF"/>
      <x:name val="Carlito"/>
    </x:font>
    <x:font>
      <x:i/>
      <x:sz val="11"/>
      <x:color rgb="1F2937"/>
      <x:name val="Carlito"/>
    </x:font>
    <x:font>
      <x:b/>
      <x:sz val="16"/>
      <x:color rgb="1F2937"/>
      <x:name val="Carlito"/>
    </x:font>
    <x:font>
      <x:b/>
      <x:sz val="11"/>
      <x:color rgb="1F2937"/>
      <x:name val="Carlito"/>
    </x:font>
    <x:font>
      <x:b/>
      <x:sz val="18"/>
      <x:color rgb="FFFFFF"/>
      <x:name val="Calibri"/>
    </x:font>
    <x:font>
      <x:sz val="11"/>
      <x:name val="Calibri"/>
    </x:font>
    <x:font>
      <x:i/>
      <x:sz val="11"/>
      <x:color rgb="1F2937"/>
      <x:name val="Calibri"/>
    </x:font>
    <x:font>
      <x:b/>
      <x:sz val="11"/>
      <x:color rgb="FFFFFF"/>
      <x:name val="Calibri"/>
    </x:font>
    <x:font>
      <x:b/>
      <x:sz val="16"/>
      <x:color rgb="1F2937"/>
      <x:name val="Calibri"/>
    </x:font>
    <x:font>
      <x:b/>
      <x:sz val="11"/>
      <x:color rgb="1F2937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F3F6F8"/>
      </x:patternFill>
    </x:fill>
    <x:fill>
      <x:patternFill patternType="solid">
        <x:fgColor rgb="E7F1FA"/>
      </x:patternFill>
    </x:fill>
    <x:fill>
      <x:patternFill patternType="solid">
        <x:fgColor rgb="0F766E"/>
      </x:patternFill>
    </x:fill>
    <x:fill>
      <x:patternFill patternType="solid">
        <x:fgColor rgb="DDEFEA"/>
      </x:patternFill>
    </x:fill>
  </x:fills>
  <x:borders count="4">
    <x:border/>
    <x:border/>
    <x:border>
      <x:left>
        <x:color rgb="B7C4D1"/>
      </x:left>
      <x:right>
        <x:color rgb="B7C4D1"/>
      </x:right>
      <x:top>
        <x:color rgb="B7C4D1"/>
      </x:top>
      <x:bottom>
        <x:color rgb="B7C4D1"/>
      </x:bottom>
    </x:border>
    <x:border>
      <x:left>
        <x:color rgb="B7C4D1"/>
      </x:left>
      <x:right>
        <x:color rgb="B7C4D1"/>
      </x:right>
      <x:top>
        <x:color rgb="B7C4D1"/>
      </x:top>
      <x:bottom>
        <x:color rgb="B7C4D1"/>
      </x:bottom>
    </x:border>
  </x:borders>
  <x:cellStyleXfs count="1">
    <x:xf numFmtId="0" fontId="0" fillId="0" borderId="0"/>
  </x:cellStyleXfs>
  <x:cellXfs count="2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201" fontId="7" fillId="6" borderId="0" xfId="0" applyNumberFormat="1" applyFont="1" applyFill="1" applyBorder="1" applyAlignment="1">
      <x:alignment horizontal="center" vertical="center"/>
    </x:xf>
    <x:xf numFmtId="201" fontId="7" fillId="6" borderId="1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1" fontId="2" fillId="4" borderId="0" xfId="0" applyNumberFormat="1" applyFont="1" applyFill="1" applyBorder="1"/>
    <x:xf numFmtId="202" fontId="2" fillId="4" borderId="0" xfId="0" applyNumberFormat="1" applyFont="1" applyFill="1" applyBorder="1"/>
    <x:xf numFmtId="201" fontId="2" fillId="4" borderId="0" xfId="0" applyNumberFormat="1" applyFont="1" applyFill="1" applyBorder="1" applyAlignment="1">
      <x:alignment horizontal="right"/>
    </x:xf>
    <x:xf numFmtId="202" fontId="2" fillId="4" borderId="0" xfId="0" applyNumberFormat="1" applyFont="1" applyFill="1" applyBorder="1" applyAlignment="1">
      <x:alignment horizontal="right"/>
    </x:xf>
    <x:xf numFmtId="201" fontId="0" fillId="4" borderId="1" xfId="0" applyNumberFormat="1" applyFont="1" applyFill="1" applyBorder="1"/>
    <x:xf numFmtId="202" fontId="0" fillId="4" borderId="1" xfId="0" applyNumberFormat="1" applyFont="1" applyFill="1" applyBorder="1"/>
    <x:xf numFmtId="201" fontId="2" fillId="4" borderId="1" xfId="0" applyNumberFormat="1" applyFont="1" applyFill="1" applyBorder="1"/>
    <x:xf numFmtId="202" fontId="2" fillId="4" borderId="1" xfId="0" applyNumberFormat="1" applyFont="1" applyFill="1" applyBorder="1"/>
    <x:xf numFmtId="201" fontId="2" fillId="4" borderId="1" xfId="0" applyNumberFormat="1" applyFont="1" applyFill="1" applyBorder="1" applyAlignment="1">
      <x:alignment horizontal="right"/>
    </x:xf>
    <x:xf numFmtId="202" fontId="2" fillId="4" borderId="1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201" fontId="2" fillId="4" borderId="0" xfId="0" applyNumberFormat="1" applyFont="1" applyFill="1" applyBorder="1" applyAlignment="1">
      <x:alignment horizontal="center"/>
    </x:xf>
    <x:xf numFmtId="202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1" fontId="2" fillId="4" borderId="1" xfId="0" applyNumberFormat="1" applyFont="1" applyFill="1" applyBorder="1" applyAlignment="1">
      <x:alignment horizontal="center"/>
    </x:xf>
    <x:xf numFmtId="202" fontId="2" fillId="4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1" fontId="7" fillId="6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1" fontId="7" fillId="6" borderId="3" xfId="0" applyNumberFormat="1" applyFont="1" applyFill="1" applyBorder="1" applyAlignment="1">
      <x:alignment horizontal="center" vertical="center"/>
    </x:xf>
    <x:xf numFmtId="202" fontId="7" fillId="6" borderId="2" xfId="0" applyNumberFormat="1" applyFont="1" applyFill="1" applyBorder="1" applyAlignment="1">
      <x:alignment horizontal="center" vertical="center"/>
    </x:xf>
    <x:xf numFmtId="202" fontId="7" fillId="6" borderId="3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/>
    <x:xf numFmtId="201" fontId="2" fillId="4" borderId="2" xfId="0" applyNumberFormat="1" applyFont="1" applyFill="1" applyBorder="1" applyAlignment="1">
      <x:alignment horizontal="right"/>
    </x:xf>
    <x:xf numFmtId="202" fontId="2" fillId="4" borderId="2" xfId="0" applyNumberFormat="1" applyFont="1" applyFill="1" applyBorder="1" applyAlignment="1">
      <x:alignment horizontal="right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/>
    <x:xf numFmtId="201" fontId="2" fillId="4" borderId="3" xfId="0" applyNumberFormat="1" applyFont="1" applyFill="1" applyBorder="1" applyAlignment="1">
      <x:alignment horizontal="right"/>
    </x:xf>
    <x:xf numFmtId="202" fontId="2" fillId="4" borderId="3" xfId="0" applyNumberFormat="1" applyFont="1" applyFill="1" applyBorder="1" applyAlignment="1">
      <x:alignment horizontal="right"/>
    </x:xf>
    <x:xf numFmtId="0" fontId="2" fillId="4" borderId="2" xfId="0" applyNumberFormat="1" applyFont="1" applyFill="1" applyBorder="1" applyAlignment="1">
      <x:alignment horizontal="center"/>
    </x:xf>
    <x:xf numFmtId="201" fontId="2" fillId="4" borderId="2" xfId="0" applyNumberFormat="1" applyFont="1" applyFill="1" applyBorder="1" applyAlignment="1">
      <x:alignment horizontal="center"/>
    </x:xf>
    <x:xf numFmtId="202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201" fontId="2" fillId="4" borderId="3" xfId="0" applyNumberFormat="1" applyFont="1" applyFill="1" applyBorder="1" applyAlignment="1">
      <x:alignment horizontal="center"/>
    </x:xf>
    <x:xf numFmtId="202" fontId="2" fillId="4" borderId="3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2" fillId="5" borderId="2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/>
    <x:xf numFmtId="201" fontId="13" fillId="6" borderId="2" xfId="0" applyNumberFormat="1" applyFont="1" applyFill="1" applyBorder="1" applyAlignment="1">
      <x:alignment horizontal="center" vertical="center"/>
    </x:xf>
    <x:xf numFmtId="202" fontId="13" fillId="6" borderId="2" xfId="0" applyNumberFormat="1" applyFont="1" applyFill="1" applyBorder="1" applyAlignment="1">
      <x:alignment horizontal="center" vertical="center"/>
    </x:xf>
    <x:xf numFmtId="0" fontId="14" fillId="3" borderId="0" xfId="0" applyNumberFormat="1" applyFont="1" applyFill="1" applyBorder="1" applyAlignment="1">
      <x:alignment horizontal="center"/>
    </x:xf>
    <x:xf numFmtId="0" fontId="12" fillId="5" borderId="2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5" fillId="3" borderId="2" xfId="0" applyNumberFormat="1" applyFont="1" applyFill="1" applyBorder="1"/>
    <x:xf numFmtId="201" fontId="15" fillId="4" borderId="2" xfId="0" applyNumberFormat="1" applyFont="1" applyFill="1" applyBorder="1" applyAlignment="1">
      <x:alignment horizontal="right"/>
    </x:xf>
    <x:xf numFmtId="0" fontId="15" fillId="4" borderId="2" xfId="0" applyNumberFormat="1" applyFont="1" applyFill="1" applyBorder="1" applyAlignment="1">
      <x:alignment horizontal="center"/>
    </x:xf>
    <x:xf numFmtId="0" fontId="10" fillId="3" borderId="2" xfId="0" applyNumberFormat="1" applyFont="1" applyFill="1" applyBorder="1" applyAlignment="1">
      <x:alignment vertical="top" wrapText="1"/>
    </x:xf>
    <x:xf numFmtId="201" fontId="15" fillId="4" borderId="2" xfId="0" applyNumberFormat="1" applyFont="1" applyFill="1" applyBorder="1" applyAlignment="1">
      <x:alignment horizontal="center"/>
    </x:xf>
    <x:xf numFmtId="202" fontId="15" fillId="4" borderId="2" xfId="0" applyNumberFormat="1" applyFont="1" applyFill="1" applyBorder="1" applyAlignment="1">
      <x:alignment horizontal="right"/>
    </x:xf>
    <x:xf numFmtId="202" fontId="15" fillId="4" borderId="2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/>
    </x:xf>
    <x:xf numFmtId="0" fontId="15" fillId="3" borderId="2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11" fillId="4" borderId="1" xfId="0" applyNumberFormat="1" applyFont="1" applyFill="1" applyBorder="1" applyAlignment="1">
      <x:alignment horizontal="center"/>
    </x:xf>
    <x:xf numFmtId="0" fontId="12" fillId="5" borderId="3" xfId="0" applyNumberFormat="1" applyFont="1" applyFill="1" applyBorder="1" applyAlignment="1">
      <x:alignment horizontal="center"/>
    </x:xf>
    <x:xf numFmtId="0" fontId="10" fillId="0" borderId="3" xfId="0" applyNumberFormat="1" applyFont="1" applyFill="1" applyBorder="1"/>
    <x:xf numFmtId="201" fontId="13" fillId="6" borderId="3" xfId="0" applyNumberFormat="1" applyFont="1" applyFill="1" applyBorder="1" applyAlignment="1">
      <x:alignment horizontal="center" vertical="center"/>
    </x:xf>
    <x:xf numFmtId="202" fontId="13" fillId="6" borderId="3" xfId="0" applyNumberFormat="1" applyFont="1" applyFill="1" applyBorder="1" applyAlignment="1">
      <x:alignment horizontal="center" vertical="center"/>
    </x:xf>
    <x:xf numFmtId="0" fontId="14" fillId="3" borderId="1" xfId="0" applyNumberFormat="1" applyFont="1" applyFill="1" applyBorder="1" applyAlignment="1">
      <x:alignment horizontal="center"/>
    </x:xf>
    <x:xf numFmtId="0" fontId="12" fillId="5" borderId="3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5" fillId="3" borderId="3" xfId="0" applyNumberFormat="1" applyFont="1" applyFill="1" applyBorder="1"/>
    <x:xf numFmtId="201" fontId="15" fillId="4" borderId="3" xfId="0" applyNumberFormat="1" applyFont="1" applyFill="1" applyBorder="1" applyAlignment="1">
      <x:alignment horizontal="right"/>
    </x:xf>
    <x:xf numFmtId="0" fontId="15" fillId="4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vertical="top" wrapText="1"/>
    </x:xf>
    <x:xf numFmtId="201" fontId="15" fillId="4" borderId="3" xfId="0" applyNumberFormat="1" applyFont="1" applyFill="1" applyBorder="1" applyAlignment="1">
      <x:alignment horizontal="center"/>
    </x:xf>
    <x:xf numFmtId="202" fontId="15" fillId="4" borderId="3" xfId="0" applyNumberFormat="1" applyFont="1" applyFill="1" applyBorder="1" applyAlignment="1">
      <x:alignment horizontal="right"/>
    </x:xf>
    <x:xf numFmtId="202" fontId="15" fillId="4" borderId="3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 applyAlignment="1">
      <x:alignment horizontal="center"/>
    </x:xf>
    <x:xf numFmtId="0" fontId="15" fillId="3" borderId="3" xfId="0" applyNumberFormat="1" applyFont="1" applyFill="1" applyBorder="1" applyAlignment="1">
      <x:alignment horizontal="center"/>
    </x:xf>
    <x:xf numFmtId="0" fontId="10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0" fillId="0" borderId="2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horizontal="center" vertical="center"/>
    </x:xf>
    <x:xf numFmtId="0" fontId="15" fillId="3" borderId="2" xfId="0" applyNumberFormat="1" applyFont="1" applyFill="1" applyBorder="1" applyAlignment="1">
      <x:alignment vertical="center"/>
    </x:xf>
    <x:xf numFmtId="201" fontId="15" fillId="4" borderId="2" xfId="0" applyNumberFormat="1" applyFont="1" applyFill="1" applyBorder="1" applyAlignment="1">
      <x:alignment horizontal="right" vertical="center"/>
    </x:xf>
    <x:xf numFmtId="0" fontId="15" fillId="4" borderId="2" xfId="0" applyNumberFormat="1" applyFont="1" applyFill="1" applyBorder="1" applyAlignment="1">
      <x:alignment horizontal="center" vertical="center"/>
    </x:xf>
    <x:xf numFmtId="0" fontId="10" fillId="3" borderId="2" xfId="0" applyNumberFormat="1" applyFont="1" applyFill="1" applyBorder="1" applyAlignment="1">
      <x:alignment vertical="center" wrapText="1"/>
    </x:xf>
    <x:xf numFmtId="201" fontId="15" fillId="4" borderId="2" xfId="0" applyNumberFormat="1" applyFont="1" applyFill="1" applyBorder="1" applyAlignment="1">
      <x:alignment horizontal="center" vertical="center"/>
    </x:xf>
    <x:xf numFmtId="202" fontId="15" fillId="4" borderId="2" xfId="0" applyNumberFormat="1" applyFont="1" applyFill="1" applyBorder="1" applyAlignment="1">
      <x:alignment horizontal="right" vertical="center"/>
    </x:xf>
    <x:xf numFmtId="202" fontId="15" fillId="4" borderId="2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5" fillId="3" borderId="2" xfId="0" applyNumberFormat="1" applyFont="1" applyFill="1" applyBorder="1" applyAlignment="1">
      <x:alignment horizontal="center" vertical="center"/>
    </x:xf>
    <x:xf numFmtId="0" fontId="1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6e23a1a514371" /><Relationship Type="http://schemas.openxmlformats.org/officeDocument/2006/relationships/theme" Target="/xl/theme/theme1.xml" Id="Rbd7255f506aa4ef2" /><Relationship Type="http://schemas.openxmlformats.org/officeDocument/2006/relationships/sharedStrings" Target="/xl/sharedStrings.xml" Id="R73153214cf124000" /><Relationship Type="http://schemas.openxmlformats.org/officeDocument/2006/relationships/worksheet" Target="/xl/worksheets/sheet1.xml" Id="Rcba26d2e2c0b4a96" /><Relationship Type="http://schemas.openxmlformats.org/officeDocument/2006/relationships/worksheet" Target="/xl/worksheets/sheet2.xml" Id="R7b7115e45803457e" /><Relationship Type="http://schemas.openxmlformats.org/officeDocument/2006/relationships/worksheet" Target="/xl/worksheets/sheet3.xml" Id="R0010c86fa6f14492" /><Relationship Type="http://schemas.openxmlformats.org/officeDocument/2006/relationships/worksheet" Target="/xl/worksheets/sheet4.xml" Id="Ra30e3bc1444e48ec" /><Relationship Type="http://schemas.openxmlformats.org/officeDocument/2006/relationships/worksheet" Target="/xl/worksheets/sheet5.xml" Id="Rac888f912b9e46b0" /><Relationship Type="http://schemas.openxmlformats.org/officeDocument/2006/relationships/worksheet" Target="/xl/worksheets/sheet6.xml" Id="Rf241f9af3f7145e9" /><Relationship Type="http://schemas.openxmlformats.org/officeDocument/2006/relationships/worksheet" Target="/xl/worksheets/sheet7.xml" Id="Rbe53b44a7799490d" /><Relationship Type="http://schemas.openxmlformats.org/officeDocument/2006/relationships/worksheet" Target="/xl/worksheets/sheet8.xml" Id="R1d6e1128406c45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6b507d4ffb4d1d" /><Relationship Type="http://schemas.openxmlformats.org/officeDocument/2006/relationships/chart" Target="/xl/drawings/charts/chart2.xml" Id="Red58e23b38074d13" /><Relationship Type="http://schemas.openxmlformats.org/officeDocument/2006/relationships/chart" Target="/xl/drawings/charts/chart3.xml" Id="R4d78b4bb12f54a54" /><Relationship Type="http://schemas.openxmlformats.org/officeDocument/2006/relationships/chart" Target="/xl/drawings/charts/chart4.xml" Id="R33185d86d50448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Countries by Total COVID-19 Deaths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Deaths</c:v>
          </c:tx>
          <c:cat>
            <c:strRef>
              <c:f>'Chart_Data'!$A$2:$A$11</c:f>
              <c:strCache>
                <c:ptCount val="0"/>
              </c:strCache>
            </c:strRef>
          </c:cat>
          <c:val>
            <c:numRef>
              <c:f>'Chart_Data'!$B$2:$B$11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Global Monthly New Deaths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Global New Deaths</c:v>
          </c:tx>
          <c:cat>
            <c:strRef>
              <c:f>'Chart_Data'!$A$31:$A$106</c:f>
              <c:strCache>
                <c:ptCount val="0"/>
              </c:strCache>
            </c:strRef>
          </c:cat>
          <c:val>
            <c:numRef>
              <c:f>'Chart_Data'!$C$31:$C$106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Deaths by WHO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Region Deaths</c:v>
          </c:tx>
          <c:cat>
            <c:strRef>
              <c:f>'Chart_Data'!$A$16:$A$23</c:f>
              <c:strCache>
                <c:ptCount val="0"/>
              </c:strCache>
            </c:strRef>
          </c:cat>
          <c:val>
            <c:numRef>
              <c:f>'Chart_Data'!$B$16:$B$23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Zimbabwe Monthly New Deaths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Zimbabwe New Deaths</c:v>
          </c:tx>
          <c:cat>
            <c:strRef>
              <c:f>'Chart_Data'!$A$116:$A$191</c:f>
              <c:strCache>
                <c:ptCount val="0"/>
              </c:strCache>
            </c:strRef>
          </c:cat>
          <c:val>
            <c:numRef>
              <c:f>'Chart_Data'!$C$116:$C$191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6b507d4ffb4d1d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58e23b38074d13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78b4bb12f54a54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185d86d50448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untrySummaryTable" displayName="CountrySummaryTable" ref="A1:G241" headerRowCount="1">
  <x:tableColumns count="7">
    <x:tableColumn id="1" name="Country"/>
    <x:tableColumn id="2" name="Country Code"/>
    <x:tableColumn id="3" name="WHO Region"/>
    <x:tableColumn id="4" name="Latest Date"/>
    <x:tableColumn id="5" name="Total Cases"/>
    <x:tableColumn id="6" name="Total Deaths"/>
    <x:tableColumn id="7" name="Case Fatality Rate"/>
  </x:tableColumns>
  <x:tableStyleInfo name="TableStyleMedium2" showRowStripes="1"/>
</x:table>
</file>

<file path=xl/tables/table2.xml><?xml version="1.0" encoding="utf-8"?>
<x:table xmlns:x="http://schemas.openxmlformats.org/spreadsheetml/2006/main" id="2" name="RegionSummaryTable" displayName="RegionSummaryTable" ref="A1:E9" headerRowCount="1">
  <x:tableColumns count="5">
    <x:tableColumn id="1" name="WHO Region"/>
    <x:tableColumn id="2" name="Countries / Locations"/>
    <x:tableColumn id="3" name="Total Cases"/>
    <x:tableColumn id="4" name="Total Deaths"/>
    <x:tableColumn id="5" name="Case Fatality Rate"/>
  </x:tableColumns>
  <x:tableStyleInfo name="TableStyleMedium2" showRowStripes="1"/>
</x:table>
</file>

<file path=xl/tables/table3.xml><?xml version="1.0" encoding="utf-8"?>
<x:table xmlns:x="http://schemas.openxmlformats.org/spreadsheetml/2006/main" id="3" name="GlobalMonthlyTable" displayName="GlobalMonthlyTable" ref="A1:C77" headerRowCount="1">
  <x:tableColumns count="3">
    <x:tableColumn id="1" name="Month"/>
    <x:tableColumn id="2" name="New Cases"/>
    <x:tableColumn id="3" name="New Deaths"/>
  </x:tableColumns>
  <x:tableStyleInfo name="TableStyleMedium2" showRowStripes="1"/>
</x:table>
</file>

<file path=xl/tables/table4.xml><?xml version="1.0" encoding="utf-8"?>
<x:table xmlns:x="http://schemas.openxmlformats.org/spreadsheetml/2006/main" id="4" name="ZimbabweMonthlyTable" displayName="ZimbabweMonthlyTable" ref="A1:E77" headerRowCount="1">
  <x:tableColumns count="5">
    <x:tableColumn id="1" name="Month"/>
    <x:tableColumn id="2" name="New Cases"/>
    <x:tableColumn id="3" name="New Deaths"/>
    <x:tableColumn id="4" name="Cumulative Cases"/>
    <x:tableColumn id="5" name="Cumulative Death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c9856969674e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3bdee57a7644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4038579ed3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af1b8e01ca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da07fbf29b40de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78"/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78"/>
      <x:c r="B2" s="138" t="str">
        <x:v>COVID-19 Mortality Analysis Dashboard</x:v>
      </x:c>
      <x:c r="C2" s="198"/>
      <x:c r="D2" s="198"/>
      <x:c r="E2" s="198"/>
      <x:c r="F2" s="198"/>
      <x:c r="G2" s="198"/>
      <x:c r="H2" s="198"/>
      <x:c r="I2" s="198"/>
      <x:c r="J2" s="198"/>
      <x:c r="K2" s="198"/>
      <x:c r="L2" s="198"/>
      <x:c r="M2" s="198"/>
      <x:c r="N2" s="19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78"/>
      <x:c r="B3" s="199" t="str">
        <x:v>WHO global data | Excel + SQL + Power BI portfolio project | Focus: global mortality, WHO regions and Zimbabwe trend</x:v>
      </x:c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78"/>
      <x:c r="B4" s="198"/>
      <x:c r="C4" s="198"/>
      <x:c r="D4" s="198"/>
      <x:c r="E4" s="198"/>
      <x:c r="F4" s="198"/>
      <x:c r="G4" s="198"/>
      <x:c r="H4" s="198"/>
      <x:c r="I4" s="198"/>
      <x:c r="J4" s="198"/>
      <x:c r="K4" s="198"/>
      <x:c r="L4" s="198"/>
      <x:c r="M4" s="198"/>
      <x:c r="N4" s="19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78"/>
      <x:c r="B5" s="200" t="str">
        <x:v>TOTAL CASES</x:v>
      </x:c>
      <x:c r="C5" s="201"/>
      <x:c r="D5" s="200" t="str">
        <x:v>TOTAL DEATHS</x:v>
      </x:c>
      <x:c r="E5" s="201"/>
      <x:c r="F5" s="198"/>
      <x:c r="G5" s="200" t="str">
        <x:v>GLOBAL CFR</x:v>
      </x:c>
      <x:c r="H5" s="201"/>
      <x:c r="I5" s="200" t="str">
        <x:v>COUNTRIES</x:v>
      </x:c>
      <x:c r="J5" s="201"/>
      <x:c r="K5" s="198"/>
      <x:c r="L5" s="200" t="str">
        <x:v>LATEST WEEK DEATHS</x:v>
      </x:c>
      <x:c r="M5" s="201"/>
      <x:c r="N5" s="19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78"/>
      <x:c r="B6" s="143" t="n">
        <x:v>779213618</x:v>
      </x:c>
      <x:c r="C6" s="201"/>
      <x:c r="D6" s="143" t="n">
        <x:v>7114800</x:v>
      </x:c>
      <x:c r="E6" s="201"/>
      <x:c r="F6" s="198"/>
      <x:c r="G6" s="144" t="n">
        <x:v>0.009130743913667073</x:v>
      </x:c>
      <x:c r="H6" s="201"/>
      <x:c r="I6" s="143" t="n">
        <x:v>240</x:v>
      </x:c>
      <x:c r="J6" s="201"/>
      <x:c r="K6" s="198"/>
      <x:c r="L6" s="143" t="n">
        <x:v>97</x:v>
      </x:c>
      <x:c r="M6" s="201"/>
      <x:c r="N6" s="19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78"/>
      <x:c r="B7" s="201"/>
      <x:c r="C7" s="201"/>
      <x:c r="D7" s="201"/>
      <x:c r="E7" s="201"/>
      <x:c r="F7" s="198"/>
      <x:c r="G7" s="201"/>
      <x:c r="H7" s="201"/>
      <x:c r="I7" s="201"/>
      <x:c r="J7" s="201"/>
      <x:c r="K7" s="198"/>
      <x:c r="L7" s="201"/>
      <x:c r="M7" s="201"/>
      <x:c r="N7" s="19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78"/>
      <x:c r="B8" s="202" t="str">
        <x:v>Dataset period: 2020-01-05 to 2026-04-26 | Peak global weekly deaths: 103,719 in week reported 2021-01-24</x:v>
      </x:c>
      <x:c r="C8" s="198"/>
      <x:c r="D8" s="198"/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78"/>
      <x:c r="B9" s="198"/>
      <x:c r="C9" s="198"/>
      <x:c r="D9" s="198"/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78"/>
      <x:c r="B10" s="146" t="str">
        <x:v>Zimbabwe Focus</x:v>
      </x:c>
      <x:c r="C10" s="146"/>
      <x:c r="D10" s="146"/>
      <x:c r="E10" s="146"/>
      <x:c r="F10" s="147"/>
      <x:c r="G10" s="146" t="str">
        <x:v>Selected Country Snapshot</x:v>
      </x:c>
      <x:c r="H10" s="146"/>
      <x:c r="I10" s="146"/>
      <x:c r="J10" s="146"/>
      <x:c r="K10" s="147"/>
      <x:c r="L10" s="146" t="str">
        <x:v>Source &amp; Notes</x:v>
      </x:c>
      <x:c r="M10" s="146"/>
      <x:c r="N10" s="146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78"/>
      <x:c r="B11" s="203" t="str">
        <x:v>Zimbabwe Total Cases</x:v>
      </x:c>
      <x:c r="C11" s="204" t="n">
        <x:v>266436</x:v>
      </x:c>
      <x:c r="D11" s="201"/>
      <x:c r="E11" s="201"/>
      <x:c r="F11" s="198"/>
      <x:c r="G11" s="203" t="str">
        <x:v>Choose Country</x:v>
      </x:c>
      <x:c r="H11" s="205" t="str">
        <x:v>Zimbabwe</x:v>
      </x:c>
      <x:c r="I11" s="205"/>
      <x:c r="J11" s="205"/>
      <x:c r="K11" s="198"/>
      <x:c r="L11" s="206" t="str">
        <x:v>WHO data is reported weekly. Cross-country comparisons are useful for trend analysis, but differences in testing and reporting affect interpretation.</x:v>
      </x:c>
      <x:c r="M11" s="201"/>
      <x:c r="N11" s="201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78"/>
      <x:c r="B12" s="203" t="str">
        <x:v>Zimbabwe Total Deaths</x:v>
      </x:c>
      <x:c r="C12" s="204" t="n">
        <x:v>5740</x:v>
      </x:c>
      <x:c r="D12" s="201"/>
      <x:c r="E12" s="201"/>
      <x:c r="F12" s="198"/>
      <x:c r="G12" s="203" t="str">
        <x:v>Total Cases</x:v>
      </x:c>
      <x:c r="H12" s="207" t="n">
        <x:f>VLOOKUP($H$11,Country_Summary!$A$2:$G$241,5,FALSE)</x:f>
        <x:v>266436</x:v>
      </x:c>
      <x:c r="I12" s="205"/>
      <x:c r="J12" s="205"/>
      <x:c r="K12" s="198"/>
      <x:c r="L12" s="201"/>
      <x:c r="M12" s="201"/>
      <x:c r="N12" s="201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78"/>
      <x:c r="B13" s="203" t="str">
        <x:v>Zimbabwe CFR</x:v>
      </x:c>
      <x:c r="C13" s="208" t="n">
        <x:v>0.02154363524448648</x:v>
      </x:c>
      <x:c r="D13" s="201"/>
      <x:c r="E13" s="201"/>
      <x:c r="F13" s="198"/>
      <x:c r="G13" s="203" t="str">
        <x:v>Total Deaths</x:v>
      </x:c>
      <x:c r="H13" s="207" t="n">
        <x:f>VLOOKUP($H$11,Country_Summary!$A$2:$G$241,6,FALSE)</x:f>
        <x:v>5740</x:v>
      </x:c>
      <x:c r="I13" s="205"/>
      <x:c r="J13" s="205"/>
      <x:c r="K13" s="198"/>
      <x:c r="L13" s="201"/>
      <x:c r="M13" s="201"/>
      <x:c r="N13" s="201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78"/>
      <x:c r="B14" s="201"/>
      <x:c r="C14" s="201"/>
      <x:c r="D14" s="201"/>
      <x:c r="E14" s="201"/>
      <x:c r="F14" s="198"/>
      <x:c r="G14" s="203" t="str">
        <x:v>Case Fatality Rate</x:v>
      </x:c>
      <x:c r="H14" s="209" t="n">
        <x:f>VLOOKUP($H$11,Country_Summary!$A$2:$G$241,7,FALSE)</x:f>
        <x:v>0.02154363524448648</x:v>
      </x:c>
      <x:c r="I14" s="205"/>
      <x:c r="J14" s="205"/>
      <x:c r="K14" s="198"/>
      <x:c r="L14" s="201"/>
      <x:c r="M14" s="201"/>
      <x:c r="N14" s="201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178"/>
      <x:c r="B15" s="210" t="str">
        <x:v>Top 10 Countries by Total Deaths</x:v>
      </x:c>
      <x:c r="C15" s="198"/>
      <x:c r="D15" s="198"/>
      <x:c r="E15" s="198"/>
      <x:c r="F15" s="198"/>
      <x:c r="G15" s="198"/>
      <x:c r="H15" s="210" t="str">
        <x:v>Global Monthly New Deaths Trend</x:v>
      </x:c>
      <x:c r="I15" s="198"/>
      <x:c r="J15" s="198"/>
      <x:c r="K15" s="198"/>
      <x:c r="L15" s="198"/>
      <x:c r="M15" s="198"/>
      <x:c r="N15" s="19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7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7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78"/>
      <x:c r="B18" s="198"/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7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7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7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7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7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7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7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7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7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7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7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17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7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78"/>
      <x:c r="B32" s="210" t="str">
        <x:v>Total Deaths by WHO Region</x:v>
      </x:c>
      <x:c r="C32" s="198"/>
      <x:c r="D32" s="198"/>
      <x:c r="E32" s="198"/>
      <x:c r="F32" s="198"/>
      <x:c r="G32" s="198"/>
      <x:c r="H32" s="210" t="str">
        <x:v>Zimbabwe Monthly New Deaths Trend</x:v>
      </x:c>
      <x:c r="I32" s="198"/>
      <x:c r="J32" s="198"/>
      <x:c r="K32" s="198"/>
      <x:c r="L32" s="198"/>
      <x:c r="M32" s="198"/>
      <x:c r="N32" s="19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7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7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7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7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7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7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7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7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7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7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7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7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7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7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7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7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7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78"/>
      <x:c r="B50" s="146" t="str">
        <x:v>Portfolio Talking Points / Insights</x:v>
      </x:c>
      <x:c r="C50" s="201"/>
      <x:c r="D50" s="201"/>
      <x:c r="E50" s="201"/>
      <x:c r="F50" s="201"/>
      <x:c r="G50" s="201"/>
      <x:c r="H50" s="201"/>
      <x:c r="I50" s="201"/>
      <x:c r="J50" s="201"/>
      <x:c r="K50" s="201"/>
      <x:c r="L50" s="201"/>
      <x:c r="M50" s="201"/>
      <x:c r="N50" s="201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78"/>
      <x:c r="B51" s="211" t="str">
        <x:v>1</x:v>
      </x:c>
      <x:c r="C51" s="212" t="str">
        <x:v>Global mortality peaked in the week reported 2021-01-24 with 103,719 deaths reported in the WHO weekly dataset.</x:v>
      </x:c>
      <x:c r="D51" s="201"/>
      <x:c r="E51" s="201"/>
      <x:c r="F51" s="201"/>
      <x:c r="G51" s="201"/>
      <x:c r="H51" s="201"/>
      <x:c r="I51" s="201"/>
      <x:c r="J51" s="201"/>
      <x:c r="K51" s="201"/>
      <x:c r="L51" s="201"/>
      <x:c r="M51" s="201"/>
      <x:c r="N51" s="201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78"/>
      <x:c r="B52" s="211" t="str">
        <x:v>2</x:v>
      </x:c>
      <x:c r="C52" s="212" t="str">
        <x:v>Zimbabwe reported 266,436 cumulative cases and 5,740 cumulative deaths by 2026-04-26, giving a case fatality rate of 2.15% in this dataset.</x:v>
      </x:c>
      <x:c r="D52" s="201"/>
      <x:c r="E52" s="201"/>
      <x:c r="F52" s="201"/>
      <x:c r="G52" s="201"/>
      <x:c r="H52" s="201"/>
      <x:c r="I52" s="201"/>
      <x:c r="J52" s="201"/>
      <x:c r="K52" s="201"/>
      <x:c r="L52" s="201"/>
      <x:c r="M52" s="201"/>
      <x:c r="N52" s="201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78"/>
      <x:c r="B53" s="211" t="str">
        <x:v>3</x:v>
      </x:c>
      <x:c r="C53" s="212" t="str">
        <x:v>The region and country views show why analysts should compare both absolute totals and rate-based measures where population data is available.</x:v>
      </x:c>
      <x:c r="D53" s="201"/>
      <x:c r="E53" s="201"/>
      <x:c r="F53" s="201"/>
      <x:c r="G53" s="201"/>
      <x:c r="H53" s="201"/>
      <x:c r="I53" s="201"/>
      <x:c r="J53" s="201"/>
      <x:c r="K53" s="201"/>
      <x:c r="L53" s="201"/>
      <x:c r="M53" s="201"/>
      <x:c r="N53" s="201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78"/>
      <x:c r="B54" s="211" t="str">
        <x:v>4</x:v>
      </x:c>
      <x:c r="C54" s="212" t="str">
        <x:v>The dashboard is suitable for demonstrating Excel data cleaning, SQL aggregation, trend analysis and Power BI dashboard planning.</x:v>
      </x:c>
      <x:c r="D54" s="201"/>
      <x:c r="E54" s="201"/>
      <x:c r="F54" s="201"/>
      <x:c r="G54" s="201"/>
      <x:c r="H54" s="201"/>
      <x:c r="I54" s="201"/>
      <x:c r="J54" s="201"/>
      <x:c r="K54" s="201"/>
      <x:c r="L54" s="201"/>
      <x:c r="M54" s="201"/>
      <x:c r="N54" s="201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</x:sheetData>
  <x:mergeCells>
    <x:mergeCell ref="B2:N2"/>
    <x:mergeCell ref="B3:N3"/>
    <x:mergeCell ref="B5:C5"/>
    <x:mergeCell ref="D5:E5"/>
    <x:mergeCell ref="G5:H5"/>
    <x:mergeCell ref="I5:J5"/>
    <x:mergeCell ref="L5:M5"/>
    <x:mergeCell ref="B6:C7"/>
    <x:mergeCell ref="D6:E7"/>
    <x:mergeCell ref="G6:H7"/>
    <x:mergeCell ref="I6:J7"/>
    <x:mergeCell ref="L6:M7"/>
    <x:mergeCell ref="B8:N8"/>
    <x:mergeCell ref="B10:E10"/>
    <x:mergeCell ref="G10:J10"/>
    <x:mergeCell ref="L10:N10"/>
    <x:mergeCell ref="H11:J11"/>
    <x:mergeCell ref="L11:N14"/>
    <x:mergeCell ref="B15:G15"/>
    <x:mergeCell ref="H15:N15"/>
    <x:mergeCell ref="B32:G32"/>
    <x:mergeCell ref="H32:N32"/>
    <x:mergeCell ref="B50:N50"/>
    <x:mergeCell ref="C51:N51"/>
    <x:mergeCell ref="C52:N52"/>
    <x:mergeCell ref="C53:N53"/>
    <x:mergeCell ref="C54:N54"/>
  </x:mergeCells>
  <x:dataValidations count="1">
    <x:dataValidation type="list" sqref="H11">
      <x:formula1>Country_Summary!$A$2:$A$241</x:formula1>
    </x:dataValidation>
  </x:dataValidations>
  <x:pageMargins left="0.7" right="0.7" top="0.75" bottom="0.75" header="0.3" footer="0.3"/>
  <x:drawing xmlns:r="http://schemas.openxmlformats.org/officeDocument/2006/relationships" r:id="R94c9856969674e50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3" t="str">
        <x:v>Country</x:v>
      </x:c>
      <x:c r="B1" s="23" t="str">
        <x:v>Country Code</x:v>
      </x:c>
      <x:c r="C1" s="23" t="str">
        <x:v>WHO Region</x:v>
      </x:c>
      <x:c r="D1" s="23" t="str">
        <x:v>Latest Date</x:v>
      </x:c>
      <x:c r="E1" s="23" t="str">
        <x:v>Total Cases</x:v>
      </x:c>
      <x:c r="F1" s="23" t="str">
        <x:v>Total Deaths</x:v>
      </x:c>
      <x:c r="G1" s="23" t="str">
        <x:v>Case Fatality Rate</x:v>
      </x:c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78" t="str">
        <x:v>United States of America</x:v>
      </x:c>
      <x:c r="B2" s="178" t="str">
        <x:v>US</x:v>
      </x:c>
      <x:c r="C2" s="178" t="str">
        <x:v>AMRO</x:v>
      </x:c>
      <x:c r="D2" s="179" t="n">
        <x:v>46138</x:v>
      </x:c>
      <x:c r="E2" s="180" t="n">
        <x:v>103436829</x:v>
      </x:c>
      <x:c r="F2" s="180" t="n">
        <x:v>1237889</x:v>
      </x:c>
      <x:c r="G2" s="181" t="n">
        <x:v>0.011967584582470138</x:v>
      </x:c>
      <x:c r="H2" s="178"/>
      <x:c r="I2" s="178"/>
      <x:c r="J2" s="178"/>
      <x:c r="K2" s="178"/>
      <x:c r="L2" s="178"/>
      <x:c r="M2" s="178"/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78" t="str">
        <x:v>Brazil</x:v>
      </x:c>
      <x:c r="B3" s="178" t="str">
        <x:v>BR</x:v>
      </x:c>
      <x:c r="C3" s="178" t="str">
        <x:v>AMRO</x:v>
      </x:c>
      <x:c r="D3" s="179" t="n">
        <x:v>46138</x:v>
      </x:c>
      <x:c r="E3" s="180" t="n">
        <x:v>38016865</x:v>
      </x:c>
      <x:c r="F3" s="180" t="n">
        <x:v>703928</x:v>
      </x:c>
      <x:c r="G3" s="181" t="n">
        <x:v>0.01851620326925958</x:v>
      </x:c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78" t="str">
        <x:v>India</x:v>
      </x:c>
      <x:c r="B4" s="178" t="str">
        <x:v>IN</x:v>
      </x:c>
      <x:c r="C4" s="178" t="str">
        <x:v>SEARO</x:v>
      </x:c>
      <x:c r="D4" s="179" t="n">
        <x:v>46138</x:v>
      </x:c>
      <x:c r="E4" s="180" t="n">
        <x:v>45056221</x:v>
      </x:c>
      <x:c r="F4" s="180" t="n">
        <x:v>533849</x:v>
      </x:c>
      <x:c r="G4" s="181" t="n">
        <x:v>0.011848508111676743</x:v>
      </x:c>
      <x:c r="H4" s="178"/>
      <x:c r="I4" s="178"/>
      <x:c r="J4" s="178"/>
      <x:c r="K4" s="178"/>
      <x:c r="L4" s="17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78" t="str">
        <x:v>Russian Federation</x:v>
      </x:c>
      <x:c r="B5" s="178" t="str">
        <x:v>RU</x:v>
      </x:c>
      <x:c r="C5" s="178" t="str">
        <x:v>EURO</x:v>
      </x:c>
      <x:c r="D5" s="179" t="n">
        <x:v>46138</x:v>
      </x:c>
      <x:c r="E5" s="180" t="n">
        <x:v>24901467</x:v>
      </x:c>
      <x:c r="F5" s="180" t="n">
        <x:v>404290</x:v>
      </x:c>
      <x:c r="G5" s="181" t="n">
        <x:v>0.016235589654215954</x:v>
      </x:c>
      <x:c r="H5" s="178"/>
      <x:c r="I5" s="178"/>
      <x:c r="J5" s="178"/>
      <x:c r="K5" s="178"/>
      <x:c r="L5" s="17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78" t="str">
        <x:v>Mexico</x:v>
      </x:c>
      <x:c r="B6" s="178" t="str">
        <x:v>MX</x:v>
      </x:c>
      <x:c r="C6" s="178" t="str">
        <x:v>AMRO</x:v>
      </x:c>
      <x:c r="D6" s="179" t="n">
        <x:v>46138</x:v>
      </x:c>
      <x:c r="E6" s="180" t="n">
        <x:v>7630014</x:v>
      </x:c>
      <x:c r="F6" s="180" t="n">
        <x:v>335105</x:v>
      </x:c>
      <x:c r="G6" s="181" t="n">
        <x:v>0.04391931653074293</x:v>
      </x:c>
      <x:c r="H6" s="178"/>
      <x:c r="I6" s="178"/>
      <x:c r="J6" s="178"/>
      <x:c r="K6" s="178"/>
      <x:c r="L6" s="178"/>
      <x:c r="M6" s="178"/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78" t="str">
        <x:v>United Kingdom of Great Britain and Northern Ireland</x:v>
      </x:c>
      <x:c r="B7" s="178" t="str">
        <x:v>GB</x:v>
      </x:c>
      <x:c r="C7" s="178" t="str">
        <x:v>EURO</x:v>
      </x:c>
      <x:c r="D7" s="179" t="n">
        <x:v>46138</x:v>
      </x:c>
      <x:c r="E7" s="180" t="n">
        <x:v>25116977</x:v>
      </x:c>
      <x:c r="F7" s="180" t="n">
        <x:v>232112</x:v>
      </x:c>
      <x:c r="G7" s="181" t="n">
        <x:v>0.009241239501075308</x:v>
      </x:c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78" t="str">
        <x:v>Peru</x:v>
      </x:c>
      <x:c r="B8" s="178" t="str">
        <x:v>PE</x:v>
      </x:c>
      <x:c r="C8" s="178" t="str">
        <x:v>AMRO</x:v>
      </x:c>
      <x:c r="D8" s="179" t="n">
        <x:v>46138</x:v>
      </x:c>
      <x:c r="E8" s="180" t="n">
        <x:v>4533765</x:v>
      </x:c>
      <x:c r="F8" s="180" t="n">
        <x:v>221071</x:v>
      </x:c>
      <x:c r="G8" s="181" t="n">
        <x:v>0.04876101871182119</x:v>
      </x:c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78" t="str">
        <x:v>Italy</x:v>
      </x:c>
      <x:c r="B9" s="178" t="str">
        <x:v>IT</x:v>
      </x:c>
      <x:c r="C9" s="178" t="str">
        <x:v>EURO</x:v>
      </x:c>
      <x:c r="D9" s="179" t="n">
        <x:v>46138</x:v>
      </x:c>
      <x:c r="E9" s="180" t="n">
        <x:v>26969913</x:v>
      </x:c>
      <x:c r="F9" s="180" t="n">
        <x:v>198523</x:v>
      </x:c>
      <x:c r="G9" s="181" t="n">
        <x:v>0.007360906206853541</x:v>
      </x:c>
      <x:c r="H9" s="178"/>
      <x:c r="I9" s="178"/>
      <x:c r="J9" s="178"/>
      <x:c r="K9" s="178"/>
      <x:c r="L9" s="178"/>
      <x:c r="M9" s="178"/>
      <x:c r="N9" s="17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78" t="str">
        <x:v>Germany</x:v>
      </x:c>
      <x:c r="B10" s="178" t="str">
        <x:v>DE</x:v>
      </x:c>
      <x:c r="C10" s="178" t="str">
        <x:v>EURO</x:v>
      </x:c>
      <x:c r="D10" s="179" t="n">
        <x:v>46138</x:v>
      </x:c>
      <x:c r="E10" s="180" t="n">
        <x:v>38437953</x:v>
      </x:c>
      <x:c r="F10" s="180" t="n">
        <x:v>174979</x:v>
      </x:c>
      <x:c r="G10" s="181" t="n">
        <x:v>0.0045522455371127596</x:v>
      </x:c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78" t="str">
        <x:v>France</x:v>
      </x:c>
      <x:c r="B11" s="178" t="str">
        <x:v>FR</x:v>
      </x:c>
      <x:c r="C11" s="178" t="str">
        <x:v>EURO</x:v>
      </x:c>
      <x:c r="D11" s="179" t="n">
        <x:v>46138</x:v>
      </x:c>
      <x:c r="E11" s="180" t="n">
        <x:v>39060272</x:v>
      </x:c>
      <x:c r="F11" s="180" t="n">
        <x:v>168207</x:v>
      </x:c>
      <x:c r="G11" s="181" t="n">
        <x:v>0.004306344820128236</x:v>
      </x:c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78" t="str">
        <x:v>Indonesia</x:v>
      </x:c>
      <x:c r="B12" s="178" t="str">
        <x:v>ID</x:v>
      </x:c>
      <x:c r="C12" s="178" t="str">
        <x:v>SEARO</x:v>
      </x:c>
      <x:c r="D12" s="179" t="n">
        <x:v>46138</x:v>
      </x:c>
      <x:c r="E12" s="180" t="n">
        <x:v>6830274</x:v>
      </x:c>
      <x:c r="F12" s="180" t="n">
        <x:v>162059</x:v>
      </x:c>
      <x:c r="G12" s="181" t="n">
        <x:v>0.023726573780202667</x:v>
      </x:c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78" t="str">
        <x:v>Iran (Islamic Republic of)</x:v>
      </x:c>
      <x:c r="B13" s="178" t="str">
        <x:v>IR</x:v>
      </x:c>
      <x:c r="C13" s="178" t="str">
        <x:v>EMRO</x:v>
      </x:c>
      <x:c r="D13" s="179" t="n">
        <x:v>46138</x:v>
      </x:c>
      <x:c r="E13" s="180" t="n">
        <x:v>7627863</x:v>
      </x:c>
      <x:c r="F13" s="180" t="n">
        <x:v>146837</x:v>
      </x:c>
      <x:c r="G13" s="181" t="n">
        <x:v>0.019250083542402374</x:v>
      </x:c>
      <x:c r="H13" s="178"/>
      <x:c r="I13" s="178"/>
      <x:c r="J13" s="178"/>
      <x:c r="K13" s="178"/>
      <x:c r="L13" s="178"/>
      <x:c r="M13" s="178"/>
      <x:c r="N13" s="178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78" t="str">
        <x:v>Colombia</x:v>
      </x:c>
      <x:c r="B14" s="178" t="str">
        <x:v>CO</x:v>
      </x:c>
      <x:c r="C14" s="178" t="str">
        <x:v>AMRO</x:v>
      </x:c>
      <x:c r="D14" s="179" t="n">
        <x:v>46138</x:v>
      </x:c>
      <x:c r="E14" s="180" t="n">
        <x:v>6403138</x:v>
      </x:c>
      <x:c r="F14" s="180" t="n">
        <x:v>142809</x:v>
      </x:c>
      <x:c r="G14" s="181" t="n">
        <x:v>0.022302970824617553</x:v>
      </x:c>
      <x:c r="H14" s="178"/>
      <x:c r="I14" s="178"/>
      <x:c r="J14" s="178"/>
      <x:c r="K14" s="178"/>
      <x:c r="L14" s="178"/>
      <x:c r="M14" s="178"/>
      <x:c r="N14" s="178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178" t="str">
        <x:v>Argentina</x:v>
      </x:c>
      <x:c r="B15" s="178" t="str">
        <x:v>AR</x:v>
      </x:c>
      <x:c r="C15" s="178" t="str">
        <x:v>AMRO</x:v>
      </x:c>
      <x:c r="D15" s="179" t="n">
        <x:v>46138</x:v>
      </x:c>
      <x:c r="E15" s="180" t="n">
        <x:v>10119291</x:v>
      </x:c>
      <x:c r="F15" s="180" t="n">
        <x:v>130845</x:v>
      </x:c>
      <x:c r="G15" s="181" t="n">
        <x:v>0.012930253710462521</x:v>
      </x:c>
      <x:c r="H15" s="178"/>
      <x:c r="I15" s="178"/>
      <x:c r="J15" s="178"/>
      <x:c r="K15" s="178"/>
      <x:c r="L15" s="178"/>
      <x:c r="M15" s="178"/>
      <x:c r="N15" s="17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78" t="str">
        <x:v>China</x:v>
      </x:c>
      <x:c r="B16" s="178" t="str">
        <x:v>CN</x:v>
      </x:c>
      <x:c r="C16" s="178" t="str">
        <x:v>WPRO</x:v>
      </x:c>
      <x:c r="D16" s="179" t="n">
        <x:v>46138</x:v>
      </x:c>
      <x:c r="E16" s="180" t="n">
        <x:v>99381761</x:v>
      </x:c>
      <x:c r="F16" s="180" t="n">
        <x:v>122398</x:v>
      </x:c>
      <x:c r="G16" s="181" t="n">
        <x:v>0.0012315941956391777</x:v>
      </x:c>
      <x:c r="H16" s="178"/>
      <x:c r="I16" s="178"/>
      <x:c r="J16" s="178"/>
      <x:c r="K16" s="178"/>
      <x:c r="L16" s="178"/>
      <x:c r="M16" s="178"/>
      <x:c r="N16" s="17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78" t="str">
        <x:v>Spain</x:v>
      </x:c>
      <x:c r="B17" s="178" t="str">
        <x:v>ES</x:v>
      </x:c>
      <x:c r="C17" s="178" t="str">
        <x:v>EURO</x:v>
      </x:c>
      <x:c r="D17" s="179" t="n">
        <x:v>46138</x:v>
      </x:c>
      <x:c r="E17" s="180" t="n">
        <x:v>13980340</x:v>
      </x:c>
      <x:c r="F17" s="180" t="n">
        <x:v>121886</x:v>
      </x:c>
      <x:c r="G17" s="181" t="n">
        <x:v>0.008718385962000924</x:v>
      </x:c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78" t="str">
        <x:v>Poland</x:v>
      </x:c>
      <x:c r="B18" s="178" t="str">
        <x:v>PL</x:v>
      </x:c>
      <x:c r="C18" s="178" t="str">
        <x:v>EURO</x:v>
      </x:c>
      <x:c r="D18" s="179" t="n">
        <x:v>46138</x:v>
      </x:c>
      <x:c r="E18" s="180" t="n">
        <x:v>6843546</x:v>
      </x:c>
      <x:c r="F18" s="180" t="n">
        <x:v>120987</x:v>
      </x:c>
      <x:c r="G18" s="181" t="n">
        <x:v>0.017678992732714883</x:v>
      </x:c>
      <x:c r="H18" s="178"/>
      <x:c r="I18" s="178"/>
      <x:c r="J18" s="178"/>
      <x:c r="K18" s="178"/>
      <x:c r="L18" s="178"/>
      <x:c r="M18" s="178"/>
      <x:c r="N18" s="17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78" t="str">
        <x:v>Ukraine</x:v>
      </x:c>
      <x:c r="B19" s="178" t="str">
        <x:v>UA</x:v>
      </x:c>
      <x:c r="C19" s="178" t="str">
        <x:v>EURO</x:v>
      </x:c>
      <x:c r="D19" s="179" t="n">
        <x:v>46138</x:v>
      </x:c>
      <x:c r="E19" s="180" t="n">
        <x:v>5555494</x:v>
      </x:c>
      <x:c r="F19" s="180" t="n">
        <x:v>109937</x:v>
      </x:c>
      <x:c r="G19" s="181" t="n">
        <x:v>0.01978887926078221</x:v>
      </x:c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78" t="str">
        <x:v>South Africa</x:v>
      </x:c>
      <x:c r="B20" s="178" t="str">
        <x:v>ZA</x:v>
      </x:c>
      <x:c r="C20" s="178" t="str">
        <x:v>AFRO</x:v>
      </x:c>
      <x:c r="D20" s="179" t="n">
        <x:v>46138</x:v>
      </x:c>
      <x:c r="E20" s="180" t="n">
        <x:v>4073188</x:v>
      </x:c>
      <x:c r="F20" s="180" t="n">
        <x:v>102595</x:v>
      </x:c>
      <x:c r="G20" s="181" t="n">
        <x:v>0.025187887227400257</x:v>
      </x:c>
      <x:c r="H20" s="178"/>
      <x:c r="I20" s="178"/>
      <x:c r="J20" s="178"/>
      <x:c r="K20" s="178"/>
      <x:c r="L20" s="178"/>
      <x:c r="M20" s="178"/>
      <x:c r="N20" s="17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78" t="str">
        <x:v>T�rkiye</x:v>
      </x:c>
      <x:c r="B21" s="178" t="str">
        <x:v>TR</x:v>
      </x:c>
      <x:c r="C21" s="178" t="str">
        <x:v>EURO</x:v>
      </x:c>
      <x:c r="D21" s="179" t="n">
        <x:v>46138</x:v>
      </x:c>
      <x:c r="E21" s="180" t="n">
        <x:v>17004726</x:v>
      </x:c>
      <x:c r="F21" s="180" t="n">
        <x:v>101419</x:v>
      </x:c>
      <x:c r="G21" s="181" t="n">
        <x:v>0.005964165491405154</x:v>
      </x:c>
      <x:c r="H21" s="178"/>
      <x:c r="I21" s="178"/>
      <x:c r="J21" s="178"/>
      <x:c r="K21" s="178"/>
      <x:c r="L21" s="178"/>
      <x:c r="M21" s="178"/>
      <x:c r="N21" s="17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78" t="str">
        <x:v>Japan</x:v>
      </x:c>
      <x:c r="B22" s="178" t="str">
        <x:v>JP</x:v>
      </x:c>
      <x:c r="C22" s="178" t="str">
        <x:v>WPRO</x:v>
      </x:c>
      <x:c r="D22" s="179" t="n">
        <x:v>46138</x:v>
      </x:c>
      <x:c r="E22" s="180" t="n">
        <x:v>33803572</x:v>
      </x:c>
      <x:c r="F22" s="180" t="n">
        <x:v>74694</x:v>
      </x:c>
      <x:c r="G22" s="181" t="n">
        <x:v>0.002209648140143296</x:v>
      </x:c>
      <x:c r="H22" s="178"/>
      <x:c r="I22" s="178"/>
      <x:c r="J22" s="178"/>
      <x:c r="K22" s="178"/>
      <x:c r="L22" s="178"/>
      <x:c r="M22" s="178"/>
      <x:c r="N22" s="17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78" t="str">
        <x:v>Romania</x:v>
      </x:c>
      <x:c r="B23" s="178" t="str">
        <x:v>RO</x:v>
      </x:c>
      <x:c r="C23" s="178" t="str">
        <x:v>EURO</x:v>
      </x:c>
      <x:c r="D23" s="179" t="n">
        <x:v>46138</x:v>
      </x:c>
      <x:c r="E23" s="180" t="n">
        <x:v>3604014</x:v>
      </x:c>
      <x:c r="F23" s="180" t="n">
        <x:v>69095</x:v>
      </x:c>
      <x:c r="G23" s="181" t="n">
        <x:v>0.019171679133321903</x:v>
      </x:c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78" t="str">
        <x:v>Philippines</x:v>
      </x:c>
      <x:c r="B24" s="178" t="str">
        <x:v>PH</x:v>
      </x:c>
      <x:c r="C24" s="178" t="str">
        <x:v>WPRO</x:v>
      </x:c>
      <x:c r="D24" s="179" t="n">
        <x:v>46138</x:v>
      </x:c>
      <x:c r="E24" s="180" t="n">
        <x:v>4140383</x:v>
      </x:c>
      <x:c r="F24" s="180" t="n">
        <x:v>66864</x:v>
      </x:c>
      <x:c r="G24" s="181" t="n">
        <x:v>0.016149230638808052</x:v>
      </x:c>
      <x:c r="H24" s="178"/>
      <x:c r="I24" s="178"/>
      <x:c r="J24" s="178"/>
      <x:c r="K24" s="178"/>
      <x:c r="L24" s="178"/>
      <x:c r="M24" s="178"/>
      <x:c r="N24" s="17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78" t="str">
        <x:v>Chile</x:v>
      </x:c>
      <x:c r="B25" s="178" t="str">
        <x:v>CL</x:v>
      </x:c>
      <x:c r="C25" s="178" t="str">
        <x:v>AMRO</x:v>
      </x:c>
      <x:c r="D25" s="179" t="n">
        <x:v>46138</x:v>
      </x:c>
      <x:c r="E25" s="180" t="n">
        <x:v>5410523</x:v>
      </x:c>
      <x:c r="F25" s="180" t="n">
        <x:v>62892</x:v>
      </x:c>
      <x:c r="G25" s="181" t="n">
        <x:v>0.01162401490576789</x:v>
      </x:c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78" t="str">
        <x:v>Canada</x:v>
      </x:c>
      <x:c r="B26" s="178" t="str">
        <x:v>CA</x:v>
      </x:c>
      <x:c r="C26" s="178" t="str">
        <x:v>AMRO</x:v>
      </x:c>
      <x:c r="D26" s="179" t="n">
        <x:v>46138</x:v>
      </x:c>
      <x:c r="E26" s="180" t="n">
        <x:v>4819055</x:v>
      </x:c>
      <x:c r="F26" s="180" t="n">
        <x:v>55282</x:v>
      </x:c>
      <x:c r="G26" s="181" t="n">
        <x:v>0.011471543694770032</x:v>
      </x:c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78" t="str">
        <x:v>Hungary</x:v>
      </x:c>
      <x:c r="B27" s="178" t="str">
        <x:v>HU</x:v>
      </x:c>
      <x:c r="C27" s="178" t="str">
        <x:v>EURO</x:v>
      </x:c>
      <x:c r="D27" s="179" t="n">
        <x:v>46138</x:v>
      </x:c>
      <x:c r="E27" s="180" t="n">
        <x:v>2240865</x:v>
      </x:c>
      <x:c r="F27" s="180" t="n">
        <x:v>49124</x:v>
      </x:c>
      <x:c r="G27" s="181" t="n">
        <x:v>0.02192189176947295</x:v>
      </x:c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78" t="str">
        <x:v>Czechia</x:v>
      </x:c>
      <x:c r="B28" s="178" t="str">
        <x:v>CZ</x:v>
      </x:c>
      <x:c r="C28" s="178" t="str">
        <x:v>EURO</x:v>
      </x:c>
      <x:c r="D28" s="179" t="n">
        <x:v>46138</x:v>
      </x:c>
      <x:c r="E28" s="180" t="n">
        <x:v>4887225</x:v>
      </x:c>
      <x:c r="F28" s="180" t="n">
        <x:v>43931</x:v>
      </x:c>
      <x:c r="G28" s="181" t="n">
        <x:v>0.008988945669577317</x:v>
      </x:c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78" t="str">
        <x:v>Viet Nam</x:v>
      </x:c>
      <x:c r="B29" s="178" t="str">
        <x:v>VN</x:v>
      </x:c>
      <x:c r="C29" s="178" t="str">
        <x:v>WPRO</x:v>
      </x:c>
      <x:c r="D29" s="179" t="n">
        <x:v>46138</x:v>
      </x:c>
      <x:c r="E29" s="180" t="n">
        <x:v>11624000</x:v>
      </x:c>
      <x:c r="F29" s="180" t="n">
        <x:v>43206</x:v>
      </x:c>
      <x:c r="G29" s="181" t="n">
        <x:v>0.0037169649002064694</x:v>
      </x:c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178" t="str">
        <x:v>Greece</x:v>
      </x:c>
      <x:c r="B30" s="178" t="str">
        <x:v>GR</x:v>
      </x:c>
      <x:c r="C30" s="178" t="str">
        <x:v>EURO</x:v>
      </x:c>
      <x:c r="D30" s="179" t="n">
        <x:v>46138</x:v>
      </x:c>
      <x:c r="E30" s="180" t="n">
        <x:v>5865800</x:v>
      </x:c>
      <x:c r="F30" s="180" t="n">
        <x:v>40252</x:v>
      </x:c>
      <x:c r="G30" s="181" t="n">
        <x:v>0.006862150090354257</x:v>
      </x:c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78" t="str">
        <x:v>Bulgaria</x:v>
      </x:c>
      <x:c r="B31" s="178" t="str">
        <x:v>BG</x:v>
      </x:c>
      <x:c r="C31" s="178" t="str">
        <x:v>EURO</x:v>
      </x:c>
      <x:c r="D31" s="179" t="n">
        <x:v>46138</x:v>
      </x:c>
      <x:c r="E31" s="180" t="n">
        <x:v>1341090</x:v>
      </x:c>
      <x:c r="F31" s="180" t="n">
        <x:v>38778</x:v>
      </x:c>
      <x:c r="G31" s="181" t="n">
        <x:v>0.02891528532760665</x:v>
      </x:c>
      <x:c r="H31" s="178"/>
      <x:c r="I31" s="178"/>
      <x:c r="J31" s="178"/>
      <x:c r="K31" s="178"/>
      <x:c r="L31" s="178"/>
      <x:c r="M31" s="178"/>
      <x:c r="N31" s="17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78" t="str">
        <x:v>Malaysia</x:v>
      </x:c>
      <x:c r="B32" s="178" t="str">
        <x:v>MY</x:v>
      </x:c>
      <x:c r="C32" s="178" t="str">
        <x:v>WPRO</x:v>
      </x:c>
      <x:c r="D32" s="179" t="n">
        <x:v>46138</x:v>
      </x:c>
      <x:c r="E32" s="180" t="n">
        <x:v>5329836</x:v>
      </x:c>
      <x:c r="F32" s="180" t="n">
        <x:v>37351</x:v>
      </x:c>
      <x:c r="G32" s="181" t="n">
        <x:v>0.007007907935628789</x:v>
      </x:c>
      <x:c r="H32" s="178"/>
      <x:c r="I32" s="178"/>
      <x:c r="J32" s="178"/>
      <x:c r="K32" s="178"/>
      <x:c r="L32" s="178"/>
      <x:c r="M32" s="178"/>
      <x:c r="N32" s="17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78" t="str">
        <x:v>Ecuador</x:v>
      </x:c>
      <x:c r="B33" s="178" t="str">
        <x:v>EC</x:v>
      </x:c>
      <x:c r="C33" s="178" t="str">
        <x:v>AMRO</x:v>
      </x:c>
      <x:c r="D33" s="179" t="n">
        <x:v>46138</x:v>
      </x:c>
      <x:c r="E33" s="180" t="n">
        <x:v>1082068</x:v>
      </x:c>
      <x:c r="F33" s="180" t="n">
        <x:v>36064</x:v>
      </x:c>
      <x:c r="G33" s="181" t="n">
        <x:v>0.03332877416206745</x:v>
      </x:c>
      <x:c r="H33" s="178"/>
      <x:c r="I33" s="178"/>
      <x:c r="J33" s="178"/>
      <x:c r="K33" s="178"/>
      <x:c r="L33" s="178"/>
      <x:c r="M33" s="178"/>
      <x:c r="N33" s="17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78" t="str">
        <x:v>Republic of Korea</x:v>
      </x:c>
      <x:c r="B34" s="178" t="str">
        <x:v>KR</x:v>
      </x:c>
      <x:c r="C34" s="178" t="str">
        <x:v>WPRO</x:v>
      </x:c>
      <x:c r="D34" s="179" t="n">
        <x:v>46138</x:v>
      </x:c>
      <x:c r="E34" s="180" t="n">
        <x:v>34571873</x:v>
      </x:c>
      <x:c r="F34" s="180" t="n">
        <x:v>35934</x:v>
      </x:c>
      <x:c r="G34" s="181" t="n">
        <x:v>0.0010393998612687255</x:v>
      </x:c>
      <x:c r="H34" s="178"/>
      <x:c r="I34" s="178"/>
      <x:c r="J34" s="178"/>
      <x:c r="K34" s="178"/>
      <x:c r="L34" s="178"/>
      <x:c r="M34" s="178"/>
      <x:c r="N34" s="17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78" t="str">
        <x:v>Thailand</x:v>
      </x:c>
      <x:c r="B35" s="178" t="str">
        <x:v>TH</x:v>
      </x:c>
      <x:c r="C35" s="178" t="str">
        <x:v>SEARO</x:v>
      </x:c>
      <x:c r="D35" s="179" t="n">
        <x:v>46138</x:v>
      </x:c>
      <x:c r="E35" s="180" t="n">
        <x:v>5427444</x:v>
      </x:c>
      <x:c r="F35" s="180" t="n">
        <x:v>34999</x:v>
      </x:c>
      <x:c r="G35" s="181" t="n">
        <x:v>0.006448523467031626</x:v>
      </x:c>
      <x:c r="H35" s="178"/>
      <x:c r="I35" s="178"/>
      <x:c r="J35" s="178"/>
      <x:c r="K35" s="178"/>
      <x:c r="L35" s="178"/>
      <x:c r="M35" s="178"/>
      <x:c r="N35" s="17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78" t="str">
        <x:v>Belgium</x:v>
      </x:c>
      <x:c r="B36" s="178" t="str">
        <x:v>BE</x:v>
      </x:c>
      <x:c r="C36" s="178" t="str">
        <x:v>EURO</x:v>
      </x:c>
      <x:c r="D36" s="179" t="n">
        <x:v>46138</x:v>
      </x:c>
      <x:c r="E36" s="180" t="n">
        <x:v>4908142</x:v>
      </x:c>
      <x:c r="F36" s="180" t="n">
        <x:v>34339</x:v>
      </x:c>
      <x:c r="G36" s="181" t="n">
        <x:v>0.00699633384690174</x:v>
      </x:c>
      <x:c r="H36" s="178"/>
      <x:c r="I36" s="178"/>
      <x:c r="J36" s="178"/>
      <x:c r="K36" s="178"/>
      <x:c r="L36" s="178"/>
      <x:c r="M36" s="178"/>
      <x:c r="N36" s="17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78" t="str">
        <x:v>Pakistan</x:v>
      </x:c>
      <x:c r="B37" s="178" t="str">
        <x:v>PK</x:v>
      </x:c>
      <x:c r="C37" s="178" t="str">
        <x:v>EMRO</x:v>
      </x:c>
      <x:c r="D37" s="179" t="n">
        <x:v>46138</x:v>
      </x:c>
      <x:c r="E37" s="180" t="n">
        <x:v>1580631</x:v>
      </x:c>
      <x:c r="F37" s="180" t="n">
        <x:v>30656</x:v>
      </x:c>
      <x:c r="G37" s="181" t="n">
        <x:v>0.019394786006348096</x:v>
      </x:c>
      <x:c r="H37" s="178"/>
      <x:c r="I37" s="178"/>
      <x:c r="J37" s="178"/>
      <x:c r="K37" s="178"/>
      <x:c r="L37" s="178"/>
      <x:c r="M37" s="178"/>
      <x:c r="N37" s="17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78" t="str">
        <x:v>Portugal</x:v>
      </x:c>
      <x:c r="B38" s="178" t="str">
        <x:v>PT</x:v>
      </x:c>
      <x:c r="C38" s="178" t="str">
        <x:v>EURO</x:v>
      </x:c>
      <x:c r="D38" s="179" t="n">
        <x:v>46138</x:v>
      </x:c>
      <x:c r="E38" s="180" t="n">
        <x:v>5671586</x:v>
      </x:c>
      <x:c r="F38" s="180" t="n">
        <x:v>29658</x:v>
      </x:c>
      <x:c r="G38" s="181" t="n">
        <x:v>0.005229225123272397</x:v>
      </x:c>
      <x:c r="H38" s="178"/>
      <x:c r="I38" s="178"/>
      <x:c r="J38" s="178"/>
      <x:c r="K38" s="178"/>
      <x:c r="L38" s="178"/>
      <x:c r="M38" s="178"/>
      <x:c r="N38" s="17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78" t="str">
        <x:v>Bangladesh</x:v>
      </x:c>
      <x:c r="B39" s="178" t="str">
        <x:v>BD</x:v>
      </x:c>
      <x:c r="C39" s="178" t="str">
        <x:v>SEARO</x:v>
      </x:c>
      <x:c r="D39" s="179" t="n">
        <x:v>46138</x:v>
      </x:c>
      <x:c r="E39" s="180" t="n">
        <x:v>2052279</x:v>
      </x:c>
      <x:c r="F39" s="180" t="n">
        <x:v>29531</x:v>
      </x:c>
      <x:c r="G39" s="181" t="n">
        <x:v>0.014389369086756722</x:v>
      </x:c>
      <x:c r="H39" s="178"/>
      <x:c r="I39" s="178"/>
      <x:c r="J39" s="178"/>
      <x:c r="K39" s="178"/>
      <x:c r="L39" s="178"/>
      <x:c r="M39" s="178"/>
      <x:c r="N39" s="17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78" t="str">
        <x:v>Sweden</x:v>
      </x:c>
      <x:c r="B40" s="178" t="str">
        <x:v>SE</x:v>
      </x:c>
      <x:c r="C40" s="178" t="str">
        <x:v>EURO</x:v>
      </x:c>
      <x:c r="D40" s="179" t="n">
        <x:v>46138</x:v>
      </x:c>
      <x:c r="E40" s="180" t="n">
        <x:v>2787197</x:v>
      </x:c>
      <x:c r="F40" s="180" t="n">
        <x:v>29484</x:v>
      </x:c>
      <x:c r="G40" s="181" t="n">
        <x:v>0.010578369594973014</x:v>
      </x:c>
      <x:c r="H40" s="178"/>
      <x:c r="I40" s="178"/>
      <x:c r="J40" s="178"/>
      <x:c r="K40" s="178"/>
      <x:c r="L40" s="178"/>
      <x:c r="M40" s="178"/>
      <x:c r="N40" s="17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78" t="str">
        <x:v>Tunisia</x:v>
      </x:c>
      <x:c r="B41" s="178" t="str">
        <x:v>TN</x:v>
      </x:c>
      <x:c r="C41" s="178" t="str">
        <x:v>EMRO</x:v>
      </x:c>
      <x:c r="D41" s="179" t="n">
        <x:v>46138</x:v>
      </x:c>
      <x:c r="E41" s="180" t="n">
        <x:v>1153361</x:v>
      </x:c>
      <x:c r="F41" s="180" t="n">
        <x:v>29423</x:v>
      </x:c>
      <x:c r="G41" s="181" t="n">
        <x:v>0.02551065971538833</x:v>
      </x:c>
      <x:c r="H41" s="178"/>
      <x:c r="I41" s="178"/>
      <x:c r="J41" s="178"/>
      <x:c r="K41" s="178"/>
      <x:c r="L41" s="178"/>
      <x:c r="M41" s="178"/>
      <x:c r="N41" s="17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78" t="str">
        <x:v>Iraq</x:v>
      </x:c>
      <x:c r="B42" s="178" t="str">
        <x:v>IQ</x:v>
      </x:c>
      <x:c r="C42" s="178" t="str">
        <x:v>EMRO</x:v>
      </x:c>
      <x:c r="D42" s="179" t="n">
        <x:v>46138</x:v>
      </x:c>
      <x:c r="E42" s="180" t="n">
        <x:v>2465545</x:v>
      </x:c>
      <x:c r="F42" s="180" t="n">
        <x:v>25375</x:v>
      </x:c>
      <x:c r="G42" s="181" t="n">
        <x:v>0.010291842168769988</x:v>
      </x:c>
      <x:c r="H42" s="178"/>
      <x:c r="I42" s="178"/>
      <x:c r="J42" s="178"/>
      <x:c r="K42" s="178"/>
      <x:c r="L42" s="178"/>
      <x:c r="M42" s="178"/>
      <x:c r="N42" s="17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78" t="str">
        <x:v>Australia</x:v>
      </x:c>
      <x:c r="B43" s="178" t="str">
        <x:v>AU</x:v>
      </x:c>
      <x:c r="C43" s="178" t="str">
        <x:v>WPRO</x:v>
      </x:c>
      <x:c r="D43" s="179" t="n">
        <x:v>46138</x:v>
      </x:c>
      <x:c r="E43" s="180" t="n">
        <x:v>11861161</x:v>
      </x:c>
      <x:c r="F43" s="180" t="n">
        <x:v>25236</x:v>
      </x:c>
      <x:c r="G43" s="181" t="n">
        <x:v>0.0021276163437963617</x:v>
      </x:c>
      <x:c r="H43" s="178"/>
      <x:c r="I43" s="178"/>
      <x:c r="J43" s="178"/>
      <x:c r="K43" s="178"/>
      <x:c r="L43" s="178"/>
      <x:c r="M43" s="178"/>
      <x:c r="N43" s="17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78" t="str">
        <x:v>Egypt</x:v>
      </x:c>
      <x:c r="B44" s="178" t="str">
        <x:v>EG</x:v>
      </x:c>
      <x:c r="C44" s="178" t="str">
        <x:v>EMRO</x:v>
      </x:c>
      <x:c r="D44" s="179" t="n">
        <x:v>46138</x:v>
      </x:c>
      <x:c r="E44" s="180" t="n">
        <x:v>516023</x:v>
      </x:c>
      <x:c r="F44" s="180" t="n">
        <x:v>24830</x:v>
      </x:c>
      <x:c r="G44" s="181" t="n">
        <x:v>0.04811801024372945</x:v>
      </x:c>
      <x:c r="H44" s="178"/>
      <x:c r="I44" s="178"/>
      <x:c r="J44" s="178"/>
      <x:c r="K44" s="178"/>
      <x:c r="L44" s="178"/>
      <x:c r="M44" s="178"/>
      <x:c r="N44" s="17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78" t="str">
        <x:v>Netherlands (Kingdom of the)</x:v>
      </x:c>
      <x:c r="B45" s="178" t="str">
        <x:v>NL</x:v>
      </x:c>
      <x:c r="C45" s="178" t="str">
        <x:v>EURO</x:v>
      </x:c>
      <x:c r="D45" s="179" t="n">
        <x:v>46138</x:v>
      </x:c>
      <x:c r="E45" s="180" t="n">
        <x:v>8657462</x:v>
      </x:c>
      <x:c r="F45" s="180" t="n">
        <x:v>22986</x:v>
      </x:c>
      <x:c r="G45" s="181" t="n">
        <x:v>0.0026550506372421847</x:v>
      </x:c>
      <x:c r="H45" s="178"/>
      <x:c r="I45" s="178"/>
      <x:c r="J45" s="178"/>
      <x:c r="K45" s="178"/>
      <x:c r="L45" s="178"/>
      <x:c r="M45" s="178"/>
      <x:c r="N45" s="17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78" t="str">
        <x:v>Austria</x:v>
      </x:c>
      <x:c r="B46" s="178" t="str">
        <x:v>AT</x:v>
      </x:c>
      <x:c r="C46" s="178" t="str">
        <x:v>EURO</x:v>
      </x:c>
      <x:c r="D46" s="179" t="n">
        <x:v>46138</x:v>
      </x:c>
      <x:c r="E46" s="180" t="n">
        <x:v>6083790</x:v>
      </x:c>
      <x:c r="F46" s="180" t="n">
        <x:v>22534</x:v>
      </x:c>
      <x:c r="G46" s="181" t="n">
        <x:v>0.0037039411288029337</x:v>
      </x:c>
      <x:c r="H46" s="178"/>
      <x:c r="I46" s="178"/>
      <x:c r="J46" s="178"/>
      <x:c r="K46" s="178"/>
      <x:c r="L46" s="178"/>
      <x:c r="M46" s="178"/>
      <x:c r="N46" s="17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78" t="str">
        <x:v>Bolivia (Plurinational State of)</x:v>
      </x:c>
      <x:c r="B47" s="178" t="str">
        <x:v>BO</x:v>
      </x:c>
      <x:c r="C47" s="178" t="str">
        <x:v>AMRO</x:v>
      </x:c>
      <x:c r="D47" s="179" t="n">
        <x:v>46138</x:v>
      </x:c>
      <x:c r="E47" s="180" t="n">
        <x:v>1212185</x:v>
      </x:c>
      <x:c r="F47" s="180" t="n">
        <x:v>22389</x:v>
      </x:c>
      <x:c r="G47" s="181" t="n">
        <x:v>0.01846995301872239</x:v>
      </x:c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78" t="str">
        <x:v>Slovakia</x:v>
      </x:c>
      <x:c r="B48" s="178" t="str">
        <x:v>SK</x:v>
      </x:c>
      <x:c r="C48" s="178" t="str">
        <x:v>EURO</x:v>
      </x:c>
      <x:c r="D48" s="179" t="n">
        <x:v>46138</x:v>
      </x:c>
      <x:c r="E48" s="180" t="n">
        <x:v>1889861</x:v>
      </x:c>
      <x:c r="F48" s="180" t="n">
        <x:v>21401</x:v>
      </x:c>
      <x:c r="G48" s="181" t="n">
        <x:v>0.011324113254890175</x:v>
      </x:c>
      <x:c r="H48" s="178"/>
      <x:c r="I48" s="178"/>
      <x:c r="J48" s="178"/>
      <x:c r="K48" s="178"/>
      <x:c r="L48" s="178"/>
      <x:c r="M48" s="178"/>
      <x:c r="N48" s="17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78" t="str">
        <x:v>Guatemala</x:v>
      </x:c>
      <x:c r="B49" s="178" t="str">
        <x:v>GT</x:v>
      </x:c>
      <x:c r="C49" s="178" t="str">
        <x:v>AMRO</x:v>
      </x:c>
      <x:c r="D49" s="179" t="n">
        <x:v>46138</x:v>
      </x:c>
      <x:c r="E49" s="180" t="n">
        <x:v>1255440</x:v>
      </x:c>
      <x:c r="F49" s="180" t="n">
        <x:v>20205</x:v>
      </x:c>
      <x:c r="G49" s="181" t="n">
        <x:v>0.016093959090040147</x:v>
      </x:c>
      <x:c r="H49" s="178"/>
      <x:c r="I49" s="178"/>
      <x:c r="J49" s="178"/>
      <x:c r="K49" s="178"/>
      <x:c r="L49" s="178"/>
      <x:c r="M49" s="178"/>
      <x:c r="N49" s="17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78" t="str">
        <x:v>Paraguay</x:v>
      </x:c>
      <x:c r="B50" s="178" t="str">
        <x:v>PY</x:v>
      </x:c>
      <x:c r="C50" s="178" t="str">
        <x:v>AMRO</x:v>
      </x:c>
      <x:c r="D50" s="179" t="n">
        <x:v>46138</x:v>
      </x:c>
      <x:c r="E50" s="180" t="n">
        <x:v>735759</x:v>
      </x:c>
      <x:c r="F50" s="180" t="n">
        <x:v>19880</x:v>
      </x:c>
      <x:c r="G50" s="181" t="n">
        <x:v>0.02701971705408972</x:v>
      </x:c>
      <x:c r="H50" s="178"/>
      <x:c r="I50" s="178"/>
      <x:c r="J50" s="178"/>
      <x:c r="K50" s="178"/>
      <x:c r="L50" s="178"/>
      <x:c r="M50" s="178"/>
      <x:c r="N50" s="178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78" t="str">
        <x:v>Myanmar</x:v>
      </x:c>
      <x:c r="B51" s="178" t="str">
        <x:v>MM</x:v>
      </x:c>
      <x:c r="C51" s="178" t="str">
        <x:v>SEARO</x:v>
      </x:c>
      <x:c r="D51" s="179" t="n">
        <x:v>46138</x:v>
      </x:c>
      <x:c r="E51" s="180" t="n">
        <x:v>643401</x:v>
      </x:c>
      <x:c r="F51" s="180" t="n">
        <x:v>19494</x:v>
      </x:c>
      <x:c r="G51" s="181" t="n">
        <x:v>0.030298367581026452</x:v>
      </x:c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78" t="str">
        <x:v>Kazakhstan</x:v>
      </x:c>
      <x:c r="B52" s="178" t="str">
        <x:v>KZ</x:v>
      </x:c>
      <x:c r="C52" s="178" t="str">
        <x:v>EURO</x:v>
      </x:c>
      <x:c r="D52" s="179" t="n">
        <x:v>46138</x:v>
      </x:c>
      <x:c r="E52" s="180" t="n">
        <x:v>1504370</x:v>
      </x:c>
      <x:c r="F52" s="180" t="n">
        <x:v>19072</x:v>
      </x:c>
      <x:c r="G52" s="181" t="n">
        <x:v>0.012677732206837414</x:v>
      </x:c>
      <x:c r="H52" s="178"/>
      <x:c r="I52" s="178"/>
      <x:c r="J52" s="178"/>
      <x:c r="K52" s="178"/>
      <x:c r="L52" s="178"/>
      <x:c r="M52" s="178"/>
      <x:c r="N52" s="178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78" t="str">
        <x:v>Croatia</x:v>
      </x:c>
      <x:c r="B53" s="178" t="str">
        <x:v>HR</x:v>
      </x:c>
      <x:c r="C53" s="178" t="str">
        <x:v>EURO</x:v>
      </x:c>
      <x:c r="D53" s="179" t="n">
        <x:v>46138</x:v>
      </x:c>
      <x:c r="E53" s="180" t="n">
        <x:v>1371630</x:v>
      </x:c>
      <x:c r="F53" s="180" t="n">
        <x:v>18805</x:v>
      </x:c>
      <x:c r="G53" s="181" t="n">
        <x:v>0.01370996551548158</x:v>
      </x:c>
      <x:c r="H53" s="178"/>
      <x:c r="I53" s="178"/>
      <x:c r="J53" s="178"/>
      <x:c r="K53" s="178"/>
      <x:c r="L53" s="178"/>
      <x:c r="M53" s="178"/>
      <x:c r="N53" s="178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78" t="str">
        <x:v>Serbia</x:v>
      </x:c>
      <x:c r="B54" s="178" t="str">
        <x:v>RS</x:v>
      </x:c>
      <x:c r="C54" s="178" t="str">
        <x:v>EURO</x:v>
      </x:c>
      <x:c r="D54" s="179" t="n">
        <x:v>46138</x:v>
      </x:c>
      <x:c r="E54" s="180" t="n">
        <x:v>2568005</x:v>
      </x:c>
      <x:c r="F54" s="180" t="n">
        <x:v>18057</x:v>
      </x:c>
      <x:c r="G54" s="181" t="n">
        <x:v>0.007031528365404273</x:v>
      </x:c>
      <x:c r="H54" s="178"/>
      <x:c r="I54" s="178"/>
      <x:c r="J54" s="178"/>
      <x:c r="K54" s="178"/>
      <x:c r="L54" s="178"/>
      <x:c r="M54" s="178"/>
      <x:c r="N54" s="178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78" t="str">
        <x:v>Georgia</x:v>
      </x:c>
      <x:c r="B55" s="178" t="str">
        <x:v>GE</x:v>
      </x:c>
      <x:c r="C55" s="178" t="str">
        <x:v>EURO</x:v>
      </x:c>
      <x:c r="D55" s="179" t="n">
        <x:v>46138</x:v>
      </x:c>
      <x:c r="E55" s="180" t="n">
        <x:v>1864337</x:v>
      </x:c>
      <x:c r="F55" s="180" t="n">
        <x:v>17151</x:v>
      </x:c>
      <x:c r="G55" s="181" t="n">
        <x:v>0.009199517040105947</x:v>
      </x:c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78" t="str">
        <x:v>Sri Lanka</x:v>
      </x:c>
      <x:c r="B56" s="178" t="str">
        <x:v>LK</x:v>
      </x:c>
      <x:c r="C56" s="178" t="str">
        <x:v>SEARO</x:v>
      </x:c>
      <x:c r="D56" s="179" t="n">
        <x:v>46138</x:v>
      </x:c>
      <x:c r="E56" s="180" t="n">
        <x:v>672812</x:v>
      </x:c>
      <x:c r="F56" s="180" t="n">
        <x:v>16907</x:v>
      </x:c>
      <x:c r="G56" s="181" t="n">
        <x:v>0.02512886214871316</x:v>
      </x:c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78" t="str">
        <x:v>Bosnia and Herzegovina</x:v>
      </x:c>
      <x:c r="B57" s="178" t="str">
        <x:v>BA</x:v>
      </x:c>
      <x:c r="C57" s="178" t="str">
        <x:v>EURO</x:v>
      </x:c>
      <x:c r="D57" s="179" t="n">
        <x:v>46138</x:v>
      </x:c>
      <x:c r="E57" s="180" t="n">
        <x:v>404289</x:v>
      </x:c>
      <x:c r="F57" s="180" t="n">
        <x:v>16419</x:v>
      </x:c>
      <x:c r="G57" s="181" t="n">
        <x:v>0.040612037428671074</x:v>
      </x:c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78" t="str">
        <x:v>Morocco</x:v>
      </x:c>
      <x:c r="B58" s="178" t="str">
        <x:v>MA</x:v>
      </x:c>
      <x:c r="C58" s="178" t="str">
        <x:v>EMRO</x:v>
      </x:c>
      <x:c r="D58" s="179" t="n">
        <x:v>46138</x:v>
      </x:c>
      <x:c r="E58" s="180" t="n">
        <x:v>1279115</x:v>
      </x:c>
      <x:c r="F58" s="180" t="n">
        <x:v>16305</x:v>
      </x:c>
      <x:c r="G58" s="181" t="n">
        <x:v>0.01274709467092482</x:v>
      </x:c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78" t="str">
        <x:v>Switzerland</x:v>
      </x:c>
      <x:c r="B59" s="178" t="str">
        <x:v>CH</x:v>
      </x:c>
      <x:c r="C59" s="178" t="str">
        <x:v>EURO</x:v>
      </x:c>
      <x:c r="D59" s="179" t="n">
        <x:v>46138</x:v>
      </x:c>
      <x:c r="E59" s="180" t="n">
        <x:v>4491924</x:v>
      </x:c>
      <x:c r="F59" s="180" t="n">
        <x:v>14170</x:v>
      </x:c>
      <x:c r="G59" s="181" t="n">
        <x:v>0.0031545502550800056</x:v>
      </x:c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78" t="str">
        <x:v>Jordan</x:v>
      </x:c>
      <x:c r="B60" s="178" t="str">
        <x:v>JO</x:v>
      </x:c>
      <x:c r="C60" s="178" t="str">
        <x:v>EMRO</x:v>
      </x:c>
      <x:c r="D60" s="179" t="n">
        <x:v>46138</x:v>
      </x:c>
      <x:c r="E60" s="180" t="n">
        <x:v>1746997</x:v>
      </x:c>
      <x:c r="F60" s="180" t="n">
        <x:v>14122</x:v>
      </x:c>
      <x:c r="G60" s="181" t="n">
        <x:v>0.00808358571880776</x:v>
      </x:c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78" t="str">
        <x:v>Israel</x:v>
      </x:c>
      <x:c r="B61" s="178" t="str">
        <x:v>IL</x:v>
      </x:c>
      <x:c r="C61" s="178" t="str">
        <x:v>EURO</x:v>
      </x:c>
      <x:c r="D61" s="179" t="n">
        <x:v>46138</x:v>
      </x:c>
      <x:c r="E61" s="180" t="n">
        <x:v>4841703</x:v>
      </x:c>
      <x:c r="F61" s="180" t="n">
        <x:v>12707</x:v>
      </x:c>
      <x:c r="G61" s="181" t="n">
        <x:v>0.002624489771470906</x:v>
      </x:c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78" t="str">
        <x:v>Republic of Moldova</x:v>
      </x:c>
      <x:c r="B62" s="178" t="str">
        <x:v>MD</x:v>
      </x:c>
      <x:c r="C62" s="178" t="str">
        <x:v>EURO</x:v>
      </x:c>
      <x:c r="D62" s="179" t="n">
        <x:v>46138</x:v>
      </x:c>
      <x:c r="E62" s="180" t="n">
        <x:v>656460</x:v>
      </x:c>
      <x:c r="F62" s="180" t="n">
        <x:v>12290</x:v>
      </x:c>
      <x:c r="G62" s="181" t="n">
        <x:v>0.01872162812661853</x:v>
      </x:c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78" t="str">
        <x:v>Nepal</x:v>
      </x:c>
      <x:c r="B63" s="178" t="str">
        <x:v>NP</x:v>
      </x:c>
      <x:c r="C63" s="178" t="str">
        <x:v>SEARO</x:v>
      </x:c>
      <x:c r="D63" s="179" t="n">
        <x:v>46138</x:v>
      </x:c>
      <x:c r="E63" s="180" t="n">
        <x:v>1003968</x:v>
      </x:c>
      <x:c r="F63" s="180" t="n">
        <x:v>12034</x:v>
      </x:c>
      <x:c r="G63" s="181" t="n">
        <x:v>0.011986437814751068</x:v>
      </x:c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78" t="str">
        <x:v>Finland</x:v>
      </x:c>
      <x:c r="B64" s="178" t="str">
        <x:v>FI</x:v>
      </x:c>
      <x:c r="C64" s="178" t="str">
        <x:v>EURO</x:v>
      </x:c>
      <x:c r="D64" s="179" t="n">
        <x:v>46138</x:v>
      </x:c>
      <x:c r="E64" s="180" t="n">
        <x:v>1518514</x:v>
      </x:c>
      <x:c r="F64" s="180" t="n">
        <x:v>11466</x:v>
      </x:c>
      <x:c r="G64" s="181" t="n">
        <x:v>0.0075508029560478205</x:v>
      </x:c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78" t="str">
        <x:v>Honduras</x:v>
      </x:c>
      <x:c r="B65" s="178" t="str">
        <x:v>HN</x:v>
      </x:c>
      <x:c r="C65" s="178" t="str">
        <x:v>AMRO</x:v>
      </x:c>
      <x:c r="D65" s="179" t="n">
        <x:v>46138</x:v>
      </x:c>
      <x:c r="E65" s="180" t="n">
        <x:v>473042</x:v>
      </x:c>
      <x:c r="F65" s="180" t="n">
        <x:v>11114</x:v>
      </x:c>
      <x:c r="G65" s="181" t="n">
        <x:v>0.023494742538717493</x:v>
      </x:c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78" t="str">
        <x:v>Lebanon</x:v>
      </x:c>
      <x:c r="B66" s="178" t="str">
        <x:v>LB</x:v>
      </x:c>
      <x:c r="C66" s="178" t="str">
        <x:v>EMRO</x:v>
      </x:c>
      <x:c r="D66" s="179" t="n">
        <x:v>46138</x:v>
      </x:c>
      <x:c r="E66" s="180" t="n">
        <x:v>1239904</x:v>
      </x:c>
      <x:c r="F66" s="180" t="n">
        <x:v>10947</x:v>
      </x:c>
      <x:c r="G66" s="181" t="n">
        <x:v>0.008828909334916252</x:v>
      </x:c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78" t="str">
        <x:v>Azerbaijan</x:v>
      </x:c>
      <x:c r="B67" s="178" t="str">
        <x:v>AZ</x:v>
      </x:c>
      <x:c r="C67" s="178" t="str">
        <x:v>EURO</x:v>
      </x:c>
      <x:c r="D67" s="179" t="n">
        <x:v>46138</x:v>
      </x:c>
      <x:c r="E67" s="180" t="n">
        <x:v>836510</x:v>
      </x:c>
      <x:c r="F67" s="180" t="n">
        <x:v>10353</x:v>
      </x:c>
      <x:c r="G67" s="181" t="n">
        <x:v>0.012376421082832243</x:v>
      </x:c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78" t="str">
        <x:v>Denmark</x:v>
      </x:c>
      <x:c r="B68" s="178" t="str">
        <x:v>DK</x:v>
      </x:c>
      <x:c r="C68" s="178" t="str">
        <x:v>EURO</x:v>
      </x:c>
      <x:c r="D68" s="179" t="n">
        <x:v>46138</x:v>
      </x:c>
      <x:c r="E68" s="180" t="n">
        <x:v>3453661</x:v>
      </x:c>
      <x:c r="F68" s="180" t="n">
        <x:v>10012</x:v>
      </x:c>
      <x:c r="G68" s="181" t="n">
        <x:v>0.0028989527345040524</x:v>
      </x:c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78" t="str">
        <x:v>North Macedonia</x:v>
      </x:c>
      <x:c r="B69" s="178" t="str">
        <x:v>MK</x:v>
      </x:c>
      <x:c r="C69" s="178" t="str">
        <x:v>EURO</x:v>
      </x:c>
      <x:c r="D69" s="179" t="n">
        <x:v>46138</x:v>
      </x:c>
      <x:c r="E69" s="180" t="n">
        <x:v>352093</x:v>
      </x:c>
      <x:c r="F69" s="180" t="n">
        <x:v>9991</x:v>
      </x:c>
      <x:c r="G69" s="181" t="n">
        <x:v>0.028376025652313452</x:v>
      </x:c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78" t="str">
        <x:v>Lithuania</x:v>
      </x:c>
      <x:c r="B70" s="178" t="str">
        <x:v>LT</x:v>
      </x:c>
      <x:c r="C70" s="178" t="str">
        <x:v>EURO</x:v>
      </x:c>
      <x:c r="D70" s="179" t="n">
        <x:v>46138</x:v>
      </x:c>
      <x:c r="E70" s="180" t="n">
        <x:v>1448915</x:v>
      </x:c>
      <x:c r="F70" s="180" t="n">
        <x:v>9930</x:v>
      </x:c>
      <x:c r="G70" s="181" t="n">
        <x:v>0.006853404098929199</x:v>
      </x:c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78" t="str">
        <x:v>Slovenia</x:v>
      </x:c>
      <x:c r="B71" s="178" t="str">
        <x:v>SI</x:v>
      </x:c>
      <x:c r="C71" s="178" t="str">
        <x:v>EURO</x:v>
      </x:c>
      <x:c r="D71" s="179" t="n">
        <x:v>46138</x:v>
      </x:c>
      <x:c r="E71" s="180" t="n">
        <x:v>1366908</x:v>
      </x:c>
      <x:c r="F71" s="180" t="n">
        <x:v>9914</x:v>
      </x:c>
      <x:c r="G71" s="181" t="n">
        <x:v>0.007252865591539445</x:v>
      </x:c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78" t="str">
        <x:v>Ireland</x:v>
      </x:c>
      <x:c r="B72" s="178" t="str">
        <x:v>IE</x:v>
      </x:c>
      <x:c r="C72" s="178" t="str">
        <x:v>EURO</x:v>
      </x:c>
      <x:c r="D72" s="179" t="n">
        <x:v>46138</x:v>
      </x:c>
      <x:c r="E72" s="180" t="n">
        <x:v>1754164</x:v>
      </x:c>
      <x:c r="F72" s="180" t="n">
        <x:v>9778</x:v>
      </x:c>
      <x:c r="G72" s="181" t="n">
        <x:v>0.005574165243386593</x:v>
      </x:c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78" t="str">
        <x:v>Saudi Arabia</x:v>
      </x:c>
      <x:c r="B73" s="178" t="str">
        <x:v>SA</x:v>
      </x:c>
      <x:c r="C73" s="178" t="str">
        <x:v>EMRO</x:v>
      </x:c>
      <x:c r="D73" s="179" t="n">
        <x:v>46138</x:v>
      </x:c>
      <x:c r="E73" s="180" t="n">
        <x:v>841469</x:v>
      </x:c>
      <x:c r="F73" s="180" t="n">
        <x:v>9646</x:v>
      </x:c>
      <x:c r="G73" s="181" t="n">
        <x:v>0.011463286229201551</x:v>
      </x:c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78" t="str">
        <x:v>Costa Rica</x:v>
      </x:c>
      <x:c r="B74" s="178" t="str">
        <x:v>CR</x:v>
      </x:c>
      <x:c r="C74" s="178" t="str">
        <x:v>AMRO</x:v>
      </x:c>
      <x:c r="D74" s="179" t="n">
        <x:v>46138</x:v>
      </x:c>
      <x:c r="E74" s="180" t="n">
        <x:v>1242697</x:v>
      </x:c>
      <x:c r="F74" s="180" t="n">
        <x:v>9396</x:v>
      </x:c>
      <x:c r="G74" s="181" t="n">
        <x:v>0.00756097423587568</x:v>
      </x:c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78" t="str">
        <x:v>Panama</x:v>
      </x:c>
      <x:c r="B75" s="178" t="str">
        <x:v>PA</x:v>
      </x:c>
      <x:c r="C75" s="178" t="str">
        <x:v>AMRO</x:v>
      </x:c>
      <x:c r="D75" s="179" t="n">
        <x:v>46138</x:v>
      </x:c>
      <x:c r="E75" s="180" t="n">
        <x:v>1045682</x:v>
      </x:c>
      <x:c r="F75" s="180" t="n">
        <x:v>8834</x:v>
      </x:c>
      <x:c r="G75" s="181" t="n">
        <x:v>0.008448075036196472</x:v>
      </x:c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78" t="str">
        <x:v>Armenia</x:v>
      </x:c>
      <x:c r="B76" s="178" t="str">
        <x:v>AM</x:v>
      </x:c>
      <x:c r="C76" s="178" t="str">
        <x:v>EURO</x:v>
      </x:c>
      <x:c r="D76" s="179" t="n">
        <x:v>46138</x:v>
      </x:c>
      <x:c r="E76" s="180" t="n">
        <x:v>454898</x:v>
      </x:c>
      <x:c r="F76" s="180" t="n">
        <x:v>8785</x:v>
      </x:c>
      <x:c r="G76" s="181" t="n">
        <x:v>0.019312021596050104</x:v>
      </x:c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78" t="str">
        <x:v>Cuba</x:v>
      </x:c>
      <x:c r="B77" s="178" t="str">
        <x:v>CU</x:v>
      </x:c>
      <x:c r="C77" s="178" t="str">
        <x:v>AMRO</x:v>
      </x:c>
      <x:c r="D77" s="179" t="n">
        <x:v>46138</x:v>
      </x:c>
      <x:c r="E77" s="180" t="n">
        <x:v>1113834</x:v>
      </x:c>
      <x:c r="F77" s="180" t="n">
        <x:v>8530</x:v>
      </x:c>
      <x:c r="G77" s="181" t="n">
        <x:v>0.0076582327348599525</x:v>
      </x:c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78" t="str">
        <x:v>Afghanistan</x:v>
      </x:c>
      <x:c r="B78" s="178" t="str">
        <x:v>AF</x:v>
      </x:c>
      <x:c r="C78" s="178" t="str">
        <x:v>EMRO</x:v>
      </x:c>
      <x:c r="D78" s="179" t="n">
        <x:v>46138</x:v>
      </x:c>
      <x:c r="E78" s="180" t="n">
        <x:v>235214</x:v>
      </x:c>
      <x:c r="F78" s="180" t="n">
        <x:v>7998</x:v>
      </x:c>
      <x:c r="G78" s="181" t="n">
        <x:v>0.03400307804807537</x:v>
      </x:c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78" t="str">
        <x:v>Latvia</x:v>
      </x:c>
      <x:c r="B79" s="178" t="str">
        <x:v>LV</x:v>
      </x:c>
      <x:c r="C79" s="178" t="str">
        <x:v>EURO</x:v>
      </x:c>
      <x:c r="D79" s="179" t="n">
        <x:v>46138</x:v>
      </x:c>
      <x:c r="E79" s="180" t="n">
        <x:v>977803</x:v>
      </x:c>
      <x:c r="F79" s="180" t="n">
        <x:v>7739</x:v>
      </x:c>
      <x:c r="G79" s="181" t="n">
        <x:v>0.00791468220081141</x:v>
      </x:c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78" t="str">
        <x:v>Uruguay</x:v>
      </x:c>
      <x:c r="B80" s="178" t="str">
        <x:v>UY</x:v>
      </x:c>
      <x:c r="C80" s="178" t="str">
        <x:v>AMRO</x:v>
      </x:c>
      <x:c r="D80" s="179" t="n">
        <x:v>46138</x:v>
      </x:c>
      <x:c r="E80" s="180" t="n">
        <x:v>1043250</x:v>
      </x:c>
      <x:c r="F80" s="180" t="n">
        <x:v>7696</x:v>
      </x:c>
      <x:c r="G80" s="181" t="n">
        <x:v>0.007376947040498442</x:v>
      </x:c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78" t="str">
        <x:v>Ethiopia</x:v>
      </x:c>
      <x:c r="B81" s="178" t="str">
        <x:v>ET</x:v>
      </x:c>
      <x:c r="C81" s="178" t="str">
        <x:v>AFRO</x:v>
      </x:c>
      <x:c r="D81" s="179" t="n">
        <x:v>46138</x:v>
      </x:c>
      <x:c r="E81" s="180" t="n">
        <x:v>501339</x:v>
      </x:c>
      <x:c r="F81" s="180" t="n">
        <x:v>7574</x:v>
      </x:c>
      <x:c r="G81" s="181" t="n">
        <x:v>0.015107542002517259</x:v>
      </x:c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78" t="str">
        <x:v>Belarus</x:v>
      </x:c>
      <x:c r="B82" s="178" t="str">
        <x:v>BY</x:v>
      </x:c>
      <x:c r="C82" s="178" t="str">
        <x:v>EURO</x:v>
      </x:c>
      <x:c r="D82" s="179" t="n">
        <x:v>46138</x:v>
      </x:c>
      <x:c r="E82" s="180" t="n">
        <x:v>994102</x:v>
      </x:c>
      <x:c r="F82" s="180" t="n">
        <x:v>7118</x:v>
      </x:c>
      <x:c r="G82" s="181" t="n">
        <x:v>0.007160231042689784</x:v>
      </x:c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78" t="str">
        <x:v>Algeria</x:v>
      </x:c>
      <x:c r="B83" s="178" t="str">
        <x:v>DZ</x:v>
      </x:c>
      <x:c r="C83" s="178" t="str">
        <x:v>AFRO</x:v>
      </x:c>
      <x:c r="D83" s="179" t="n">
        <x:v>46138</x:v>
      </x:c>
      <x:c r="E83" s="180" t="n">
        <x:v>272440</x:v>
      </x:c>
      <x:c r="F83" s="180" t="n">
        <x:v>6881</x:v>
      </x:c>
      <x:c r="G83" s="181" t="n">
        <x:v>0.025256937307297018</x:v>
      </x:c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78" t="str">
        <x:v>Libya</x:v>
      </x:c>
      <x:c r="B84" s="178" t="str">
        <x:v>LY</x:v>
      </x:c>
      <x:c r="C84" s="178" t="str">
        <x:v>EMRO</x:v>
      </x:c>
      <x:c r="D84" s="179" t="n">
        <x:v>46138</x:v>
      </x:c>
      <x:c r="E84" s="180" t="n">
        <x:v>507269</x:v>
      </x:c>
      <x:c r="F84" s="180" t="n">
        <x:v>6437</x:v>
      </x:c>
      <x:c r="G84" s="181" t="n">
        <x:v>0.012689519761704342</x:v>
      </x:c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78" t="str">
        <x:v>Puerto Rico</x:v>
      </x:c>
      <x:c r="B85" s="178" t="str">
        <x:v>PR</x:v>
      </x:c>
      <x:c r="C85" s="178" t="str">
        <x:v>AMRO</x:v>
      </x:c>
      <x:c r="D85" s="179" t="n">
        <x:v>46138</x:v>
      </x:c>
      <x:c r="E85" s="180" t="n">
        <x:v>1252713</x:v>
      </x:c>
      <x:c r="F85" s="180" t="n">
        <x:v>5938</x:v>
      </x:c>
      <x:c r="G85" s="181" t="n">
        <x:v>0.004740112060783276</x:v>
      </x:c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78" t="str">
        <x:v>Venezuela (Bolivarian Republic of)</x:v>
      </x:c>
      <x:c r="B86" s="178" t="str">
        <x:v>VE</x:v>
      </x:c>
      <x:c r="C86" s="178" t="str">
        <x:v>AMRO</x:v>
      </x:c>
      <x:c r="D86" s="179" t="n">
        <x:v>46138</x:v>
      </x:c>
      <x:c r="E86" s="180" t="n">
        <x:v>552745</x:v>
      </x:c>
      <x:c r="F86" s="180" t="n">
        <x:v>5856</x:v>
      </x:c>
      <x:c r="G86" s="181" t="n">
        <x:v>0.010594397054699726</x:v>
      </x:c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78" t="str">
        <x:v>Zimbabwe</x:v>
      </x:c>
      <x:c r="B87" s="178" t="str">
        <x:v>ZW</x:v>
      </x:c>
      <x:c r="C87" s="178" t="str">
        <x:v>AFRO</x:v>
      </x:c>
      <x:c r="D87" s="179" t="n">
        <x:v>46138</x:v>
      </x:c>
      <x:c r="E87" s="180" t="n">
        <x:v>266436</x:v>
      </x:c>
      <x:c r="F87" s="180" t="n">
        <x:v>5740</x:v>
      </x:c>
      <x:c r="G87" s="181" t="n">
        <x:v>0.02154363524448648</x:v>
      </x:c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78" t="str">
        <x:v>Norway</x:v>
      </x:c>
      <x:c r="B88" s="178" t="str">
        <x:v>NO</x:v>
      </x:c>
      <x:c r="C88" s="178" t="str">
        <x:v>EURO</x:v>
      </x:c>
      <x:c r="D88" s="179" t="n">
        <x:v>46138</x:v>
      </x:c>
      <x:c r="E88" s="180" t="n">
        <x:v>1552139</x:v>
      </x:c>
      <x:c r="F88" s="180" t="n">
        <x:v>5732</x:v>
      </x:c>
      <x:c r="G88" s="181" t="n">
        <x:v>0.003692968219985452</x:v>
      </x:c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78" t="str">
        <x:v>occupied Palestinian territory, including east Jerusalem</x:v>
      </x:c>
      <x:c r="B89" s="178" t="str">
        <x:v>PS</x:v>
      </x:c>
      <x:c r="C89" s="178" t="str">
        <x:v>EMRO</x:v>
      </x:c>
      <x:c r="D89" s="179" t="n">
        <x:v>46138</x:v>
      </x:c>
      <x:c r="E89" s="180" t="n">
        <x:v>703228</x:v>
      </x:c>
      <x:c r="F89" s="180" t="n">
        <x:v>5708</x:v>
      </x:c>
      <x:c r="G89" s="181" t="n">
        <x:v>0.008116855415313384</x:v>
      </x:c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78" t="str">
        <x:v>Kenya</x:v>
      </x:c>
      <x:c r="B90" s="178" t="str">
        <x:v>KE</x:v>
      </x:c>
      <x:c r="C90" s="178" t="str">
        <x:v>AFRO</x:v>
      </x:c>
      <x:c r="D90" s="179" t="n">
        <x:v>46138</x:v>
      </x:c>
      <x:c r="E90" s="180" t="n">
        <x:v>344162</x:v>
      </x:c>
      <x:c r="F90" s="180" t="n">
        <x:v>5689</x:v>
      </x:c>
      <x:c r="G90" s="181" t="n">
        <x:v>0.016530006218001988</x:v>
      </x:c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78" t="str">
        <x:v>Sudan</x:v>
      </x:c>
      <x:c r="B91" s="178" t="str">
        <x:v>SD</x:v>
      </x:c>
      <x:c r="C91" s="178" t="str">
        <x:v>EMRO</x:v>
      </x:c>
      <x:c r="D91" s="179" t="n">
        <x:v>46138</x:v>
      </x:c>
      <x:c r="E91" s="180" t="n">
        <x:v>63993</x:v>
      </x:c>
      <x:c r="F91" s="180" t="n">
        <x:v>5046</x:v>
      </x:c>
      <x:c r="G91" s="181" t="n">
        <x:v>0.07885237447845858</x:v>
      </x:c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78" t="str">
        <x:v>Oman</x:v>
      </x:c>
      <x:c r="B92" s="178" t="str">
        <x:v>OM</x:v>
      </x:c>
      <x:c r="C92" s="178" t="str">
        <x:v>EMRO</x:v>
      </x:c>
      <x:c r="D92" s="179" t="n">
        <x:v>46138</x:v>
      </x:c>
      <x:c r="E92" s="180" t="n">
        <x:v>399449</x:v>
      </x:c>
      <x:c r="F92" s="180" t="n">
        <x:v>4628</x:v>
      </x:c>
      <x:c r="G92" s="181" t="n">
        <x:v>0.011585959659430866</x:v>
      </x:c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78" t="str">
        <x:v>New Zealand</x:v>
      </x:c>
      <x:c r="B93" s="178" t="str">
        <x:v>NZ</x:v>
      </x:c>
      <x:c r="C93" s="178" t="str">
        <x:v>WPRO</x:v>
      </x:c>
      <x:c r="D93" s="179" t="n">
        <x:v>46138</x:v>
      </x:c>
      <x:c r="E93" s="180" t="n">
        <x:v>2668236</x:v>
      </x:c>
      <x:c r="F93" s="180" t="n">
        <x:v>4538</x:v>
      </x:c>
      <x:c r="G93" s="181" t="n">
        <x:v>0.0017007491091492657</x:v>
      </x:c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78" t="str">
        <x:v>Trinidad and Tobago</x:v>
      </x:c>
      <x:c r="B94" s="178" t="str">
        <x:v>TT</x:v>
      </x:c>
      <x:c r="C94" s="178" t="str">
        <x:v>AMRO</x:v>
      </x:c>
      <x:c r="D94" s="179" t="n">
        <x:v>46138</x:v>
      </x:c>
      <x:c r="E94" s="180" t="n">
        <x:v>191496</x:v>
      </x:c>
      <x:c r="F94" s="180" t="n">
        <x:v>4390</x:v>
      </x:c>
      <x:c r="G94" s="181" t="n">
        <x:v>0.02292476083051343</x:v>
      </x:c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78" t="str">
        <x:v>Dominican Republic</x:v>
      </x:c>
      <x:c r="B95" s="178" t="str">
        <x:v>DO</x:v>
      </x:c>
      <x:c r="C95" s="178" t="str">
        <x:v>AMRO</x:v>
      </x:c>
      <x:c r="D95" s="179" t="n">
        <x:v>46138</x:v>
      </x:c>
      <x:c r="E95" s="180" t="n">
        <x:v>661103</x:v>
      </x:c>
      <x:c r="F95" s="180" t="n">
        <x:v>4384</x:v>
      </x:c>
      <x:c r="G95" s="181" t="n">
        <x:v>0.006631341863522023</x:v>
      </x:c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78" t="str">
        <x:v>El Salvador</x:v>
      </x:c>
      <x:c r="B96" s="178" t="str">
        <x:v>SV</x:v>
      </x:c>
      <x:c r="C96" s="178" t="str">
        <x:v>AMRO</x:v>
      </x:c>
      <x:c r="D96" s="179" t="n">
        <x:v>46138</x:v>
      </x:c>
      <x:c r="E96" s="180" t="n">
        <x:v>202066</x:v>
      </x:c>
      <x:c r="F96" s="180" t="n">
        <x:v>4230</x:v>
      </x:c>
      <x:c r="G96" s="181" t="n">
        <x:v>0.020933754317896132</x:v>
      </x:c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78" t="str">
        <x:v>Namibia</x:v>
      </x:c>
      <x:c r="B97" s="178" t="str">
        <x:v>NA</x:v>
      </x:c>
      <x:c r="C97" s="178" t="str">
        <x:v>AFRO</x:v>
      </x:c>
      <x:c r="D97" s="179" t="n">
        <x:v>46138</x:v>
      </x:c>
      <x:c r="E97" s="180" t="n">
        <x:v>172557</x:v>
      </x:c>
      <x:c r="F97" s="180" t="n">
        <x:v>4110</x:v>
      </x:c>
      <x:c r="G97" s="181" t="n">
        <x:v>0.023818216589300927</x:v>
      </x:c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78" t="str">
        <x:v>Zambia</x:v>
      </x:c>
      <x:c r="B98" s="178" t="str">
        <x:v>ZM</x:v>
      </x:c>
      <x:c r="C98" s="178" t="str">
        <x:v>AFRO</x:v>
      </x:c>
      <x:c r="D98" s="179" t="n">
        <x:v>46138</x:v>
      </x:c>
      <x:c r="E98" s="180" t="n">
        <x:v>349892</x:v>
      </x:c>
      <x:c r="F98" s="180" t="n">
        <x:v>4078</x:v>
      </x:c>
      <x:c r="G98" s="181" t="n">
        <x:v>0.01165502497913642</x:v>
      </x:c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78" t="str">
        <x:v>Jamaica</x:v>
      </x:c>
      <x:c r="B99" s="178" t="str">
        <x:v>JM</x:v>
      </x:c>
      <x:c r="C99" s="178" t="str">
        <x:v>AMRO</x:v>
      </x:c>
      <x:c r="D99" s="179" t="n">
        <x:v>46138</x:v>
      </x:c>
      <x:c r="E99" s="180" t="n">
        <x:v>157667</x:v>
      </x:c>
      <x:c r="F99" s="180" t="n">
        <x:v>3634</x:v>
      </x:c>
      <x:c r="G99" s="181" t="n">
        <x:v>0.023048577064319103</x:v>
      </x:c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78" t="str">
        <x:v>Uganda</x:v>
      </x:c>
      <x:c r="B100" s="178" t="str">
        <x:v>UG</x:v>
      </x:c>
      <x:c r="C100" s="178" t="str">
        <x:v>AFRO</x:v>
      </x:c>
      <x:c r="D100" s="179" t="n">
        <x:v>46138</x:v>
      </x:c>
      <x:c r="E100" s="180" t="n">
        <x:v>172234</x:v>
      </x:c>
      <x:c r="F100" s="180" t="n">
        <x:v>3632</x:v>
      </x:c>
      <x:c r="G100" s="181" t="n">
        <x:v>0.021087590138996946</x:v>
      </x:c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78" t="str">
        <x:v>Albania</x:v>
      </x:c>
      <x:c r="B101" s="178" t="str">
        <x:v>AL</x:v>
      </x:c>
      <x:c r="C101" s="178" t="str">
        <x:v>EURO</x:v>
      </x:c>
      <x:c r="D101" s="179" t="n">
        <x:v>46138</x:v>
      </x:c>
      <x:c r="E101" s="180" t="n">
        <x:v>337234</x:v>
      </x:c>
      <x:c r="F101" s="180" t="n">
        <x:v>3608</x:v>
      </x:c>
      <x:c r="G101" s="181" t="n">
        <x:v>0.010698802611836292</x:v>
      </x:c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78" t="str">
        <x:v>Estonia</x:v>
      </x:c>
      <x:c r="B102" s="178" t="str">
        <x:v>EE</x:v>
      </x:c>
      <x:c r="C102" s="178" t="str">
        <x:v>EURO</x:v>
      </x:c>
      <x:c r="D102" s="179" t="n">
        <x:v>46138</x:v>
      </x:c>
      <x:c r="E102" s="180" t="n">
        <x:v>617803</x:v>
      </x:c>
      <x:c r="F102" s="180" t="n">
        <x:v>3439</x:v>
      </x:c>
      <x:c r="G102" s="181" t="n">
        <x:v>0.0055664993533537386</x:v>
      </x:c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78" t="str">
        <x:v>Kosovo (in accordance with UN Security Council resolution 1244 (1999))</x:v>
      </x:c>
      <x:c r="B103" s="178" t="str">
        <x:v>XK</x:v>
      </x:c>
      <x:c r="C103" s="178" t="str">
        <x:v>EURO</x:v>
      </x:c>
      <x:c r="D103" s="179" t="n">
        <x:v>46138</x:v>
      </x:c>
      <x:c r="E103" s="180" t="n">
        <x:v>274279</x:v>
      </x:c>
      <x:c r="F103" s="180" t="n">
        <x:v>3212</x:v>
      </x:c>
      <x:c r="G103" s="181" t="n">
        <x:v>0.011710703334925385</x:v>
      </x:c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78" t="str">
        <x:v>Syrian Arab Republic</x:v>
      </x:c>
      <x:c r="B104" s="178" t="str">
        <x:v>SY</x:v>
      </x:c>
      <x:c r="C104" s="178" t="str">
        <x:v>EMRO</x:v>
      </x:c>
      <x:c r="D104" s="179" t="n">
        <x:v>46138</x:v>
      </x:c>
      <x:c r="E104" s="180" t="n">
        <x:v>57423</x:v>
      </x:c>
      <x:c r="F104" s="180" t="n">
        <x:v>3163</x:v>
      </x:c>
      <x:c r="G104" s="181" t="n">
        <x:v>0.055082458248437036</x:v>
      </x:c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78" t="str">
        <x:v>Nigeria</x:v>
      </x:c>
      <x:c r="B105" s="178" t="str">
        <x:v>NG</x:v>
      </x:c>
      <x:c r="C105" s="178" t="str">
        <x:v>AFRO</x:v>
      </x:c>
      <x:c r="D105" s="179" t="n">
        <x:v>46138</x:v>
      </x:c>
      <x:c r="E105" s="180" t="n">
        <x:v>267237</x:v>
      </x:c>
      <x:c r="F105" s="180" t="n">
        <x:v>3155</x:v>
      </x:c>
      <x:c r="G105" s="181" t="n">
        <x:v>0.01180599991767607</x:v>
      </x:c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78" t="str">
        <x:v>Cambodia</x:v>
      </x:c>
      <x:c r="B106" s="178" t="str">
        <x:v>KH</x:v>
      </x:c>
      <x:c r="C106" s="178" t="str">
        <x:v>WPRO</x:v>
      </x:c>
      <x:c r="D106" s="179" t="n">
        <x:v>46138</x:v>
      </x:c>
      <x:c r="E106" s="180" t="n">
        <x:v>139326</x:v>
      </x:c>
      <x:c r="F106" s="180" t="n">
        <x:v>3056</x:v>
      </x:c>
      <x:c r="G106" s="181" t="n">
        <x:v>0.021934168784002984</x:v>
      </x:c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 t="str">
        <x:v>Botswana</x:v>
      </x:c>
      <x:c r="B107" s="178" t="str">
        <x:v>BW</x:v>
      </x:c>
      <x:c r="C107" s="178" t="str">
        <x:v>AFRO</x:v>
      </x:c>
      <x:c r="D107" s="179" t="n">
        <x:v>46138</x:v>
      </x:c>
      <x:c r="E107" s="180" t="n">
        <x:v>330699</x:v>
      </x:c>
      <x:c r="F107" s="180" t="n">
        <x:v>2801</x:v>
      </x:c>
      <x:c r="G107" s="181" t="n">
        <x:v>0.008469937919376835</x:v>
      </x:c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 t="str">
        <x:v>Malawi</x:v>
      </x:c>
      <x:c r="B108" s="178" t="str">
        <x:v>MW</x:v>
      </x:c>
      <x:c r="C108" s="178" t="str">
        <x:v>AFRO</x:v>
      </x:c>
      <x:c r="D108" s="179" t="n">
        <x:v>46138</x:v>
      </x:c>
      <x:c r="E108" s="180" t="n">
        <x:v>89168</x:v>
      </x:c>
      <x:c r="F108" s="180" t="n">
        <x:v>2686</x:v>
      </x:c>
      <x:c r="G108" s="181" t="n">
        <x:v>0.030122914049883365</x:v>
      </x:c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 t="str">
        <x:v>Montenegro</x:v>
      </x:c>
      <x:c r="B109" s="178" t="str">
        <x:v>ME</x:v>
      </x:c>
      <x:c r="C109" s="178" t="str">
        <x:v>EURO</x:v>
      </x:c>
      <x:c r="D109" s="179" t="n">
        <x:v>46138</x:v>
      </x:c>
      <x:c r="E109" s="180" t="n">
        <x:v>251280</x:v>
      </x:c>
      <x:c r="F109" s="180" t="n">
        <x:v>2654</x:v>
      </x:c>
      <x:c r="G109" s="181" t="n">
        <x:v>0.010561922954473097</x:v>
      </x:c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 t="str">
        <x:v>Kuwait</x:v>
      </x:c>
      <x:c r="B110" s="178" t="str">
        <x:v>KW</x:v>
      </x:c>
      <x:c r="C110" s="178" t="str">
        <x:v>EMRO</x:v>
      </x:c>
      <x:c r="D110" s="179" t="n">
        <x:v>46138</x:v>
      </x:c>
      <x:c r="E110" s="180" t="n">
        <x:v>667290</x:v>
      </x:c>
      <x:c r="F110" s="180" t="n">
        <x:v>2570</x:v>
      </x:c>
      <x:c r="G110" s="181" t="n">
        <x:v>0.00385139894198924</x:v>
      </x:c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 t="str">
        <x:v>United Arab Emirates</x:v>
      </x:c>
      <x:c r="B111" s="178" t="str">
        <x:v>AE</x:v>
      </x:c>
      <x:c r="C111" s="178" t="str">
        <x:v>EMRO</x:v>
      </x:c>
      <x:c r="D111" s="179" t="n">
        <x:v>46138</x:v>
      </x:c>
      <x:c r="E111" s="180" t="n">
        <x:v>1067030</x:v>
      </x:c>
      <x:c r="F111" s="180" t="n">
        <x:v>2349</x:v>
      </x:c>
      <x:c r="G111" s="181" t="n">
        <x:v>0.002201437635305474</x:v>
      </x:c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 t="str">
        <x:v>Mozambique</x:v>
      </x:c>
      <x:c r="B112" s="178" t="str">
        <x:v>MZ</x:v>
      </x:c>
      <x:c r="C112" s="178" t="str">
        <x:v>AFRO</x:v>
      </x:c>
      <x:c r="D112" s="179" t="n">
        <x:v>46138</x:v>
      </x:c>
      <x:c r="E112" s="180" t="n">
        <x:v>233935</x:v>
      </x:c>
      <x:c r="F112" s="180" t="n">
        <x:v>2252</x:v>
      </x:c>
      <x:c r="G112" s="181" t="n">
        <x:v>0.009626605681065253</x:v>
      </x:c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 t="str">
        <x:v>Yemen</x:v>
      </x:c>
      <x:c r="B113" s="178" t="str">
        <x:v>YE</x:v>
      </x:c>
      <x:c r="C113" s="178" t="str">
        <x:v>EMRO</x:v>
      </x:c>
      <x:c r="D113" s="179" t="n">
        <x:v>46138</x:v>
      </x:c>
      <x:c r="E113" s="180" t="n">
        <x:v>11945</x:v>
      </x:c>
      <x:c r="F113" s="180" t="n">
        <x:v>2159</x:v>
      </x:c>
      <x:c r="G113" s="181" t="n">
        <x:v>0.18074508162411052</x:v>
      </x:c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 t="str">
        <x:v>Mongolia</x:v>
      </x:c>
      <x:c r="B114" s="178" t="str">
        <x:v>MN</x:v>
      </x:c>
      <x:c r="C114" s="178" t="str">
        <x:v>WPRO</x:v>
      </x:c>
      <x:c r="D114" s="179" t="n">
        <x:v>46138</x:v>
      </x:c>
      <x:c r="E114" s="180" t="n">
        <x:v>1011489</x:v>
      </x:c>
      <x:c r="F114" s="180" t="n">
        <x:v>2136</x:v>
      </x:c>
      <x:c r="G114" s="181" t="n">
        <x:v>0.002111738239367902</x:v>
      </x:c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178" t="str">
        <x:v>Singapore</x:v>
      </x:c>
      <x:c r="B115" s="178" t="str">
        <x:v>SG</x:v>
      </x:c>
      <x:c r="C115" s="178" t="str">
        <x:v>WPRO</x:v>
      </x:c>
      <x:c r="D115" s="179" t="n">
        <x:v>46138</x:v>
      </x:c>
      <x:c r="E115" s="180" t="n">
        <x:v>3006155</x:v>
      </x:c>
      <x:c r="F115" s="180" t="n">
        <x:v>2024</x:v>
      </x:c>
      <x:c r="G115" s="181" t="n">
        <x:v>0.0006732853096397225</x:v>
      </x:c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78" t="str">
        <x:v>Cameroon</x:v>
      </x:c>
      <x:c r="B116" s="178" t="str">
        <x:v>CM</x:v>
      </x:c>
      <x:c r="C116" s="178" t="str">
        <x:v>AFRO</x:v>
      </x:c>
      <x:c r="D116" s="179" t="n">
        <x:v>46138</x:v>
      </x:c>
      <x:c r="E116" s="180" t="n">
        <x:v>125325</x:v>
      </x:c>
      <x:c r="F116" s="180" t="n">
        <x:v>1974</x:v>
      </x:c>
      <x:c r="G116" s="181" t="n">
        <x:v>0.015751047277079593</x:v>
      </x:c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78" t="str">
        <x:v>Senegal</x:v>
      </x:c>
      <x:c r="B117" s="178" t="str">
        <x:v>SN</x:v>
      </x:c>
      <x:c r="C117" s="178" t="str">
        <x:v>AFRO</x:v>
      </x:c>
      <x:c r="D117" s="179" t="n">
        <x:v>46138</x:v>
      </x:c>
      <x:c r="E117" s="180" t="n">
        <x:v>89440</x:v>
      </x:c>
      <x:c r="F117" s="180" t="n">
        <x:v>1972</x:v>
      </x:c>
      <x:c r="G117" s="181" t="n">
        <x:v>0.02204830053667263</x:v>
      </x:c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78" t="str">
        <x:v>Angola</x:v>
      </x:c>
      <x:c r="B118" s="178" t="str">
        <x:v>AO</x:v>
      </x:c>
      <x:c r="C118" s="178" t="str">
        <x:v>AFRO</x:v>
      </x:c>
      <x:c r="D118" s="179" t="n">
        <x:v>46138</x:v>
      </x:c>
      <x:c r="E118" s="180" t="n">
        <x:v>107487</x:v>
      </x:c>
      <x:c r="F118" s="180" t="n">
        <x:v>1937</x:v>
      </x:c>
      <x:c r="G118" s="181" t="n">
        <x:v>0.018020783908751756</x:v>
      </x:c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78" t="str">
        <x:v>Bahrain</x:v>
      </x:c>
      <x:c r="B119" s="178" t="str">
        <x:v>BH</x:v>
      </x:c>
      <x:c r="C119" s="178" t="str">
        <x:v>EMRO</x:v>
      </x:c>
      <x:c r="D119" s="179" t="n">
        <x:v>46138</x:v>
      </x:c>
      <x:c r="E119" s="180" t="n">
        <x:v>696614</x:v>
      </x:c>
      <x:c r="F119" s="180" t="n">
        <x:v>1536</x:v>
      </x:c>
      <x:c r="G119" s="181" t="n">
        <x:v>0.0022049513790994724</x:v>
      </x:c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78" t="str">
        <x:v>Democratic Republic of the Congo</x:v>
      </x:c>
      <x:c r="B120" s="178" t="str">
        <x:v>CD</x:v>
      </x:c>
      <x:c r="C120" s="178" t="str">
        <x:v>AFRO</x:v>
      </x:c>
      <x:c r="D120" s="179" t="n">
        <x:v>46138</x:v>
      </x:c>
      <x:c r="E120" s="180" t="n">
        <x:v>101010</x:v>
      </x:c>
      <x:c r="F120" s="180" t="n">
        <x:v>1474</x:v>
      </x:c>
      <x:c r="G120" s="181" t="n">
        <x:v>0.014592614592614593</x:v>
      </x:c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78" t="str">
        <x:v>Rwanda</x:v>
      </x:c>
      <x:c r="B121" s="178" t="str">
        <x:v>RW</x:v>
      </x:c>
      <x:c r="C121" s="178" t="str">
        <x:v>AFRO</x:v>
      </x:c>
      <x:c r="D121" s="179" t="n">
        <x:v>46138</x:v>
      </x:c>
      <x:c r="E121" s="180" t="n">
        <x:v>133274</x:v>
      </x:c>
      <x:c r="F121" s="180" t="n">
        <x:v>1468</x:v>
      </x:c>
      <x:c r="G121" s="181" t="n">
        <x:v>0.011014901631225895</x:v>
      </x:c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78" t="str">
        <x:v>Ghana</x:v>
      </x:c>
      <x:c r="B122" s="178" t="str">
        <x:v>GH</x:v>
      </x:c>
      <x:c r="C122" s="178" t="str">
        <x:v>AFRO</x:v>
      </x:c>
      <x:c r="D122" s="179" t="n">
        <x:v>46138</x:v>
      </x:c>
      <x:c r="E122" s="180" t="n">
        <x:v>172843</x:v>
      </x:c>
      <x:c r="F122" s="180" t="n">
        <x:v>1463</x:v>
      </x:c>
      <x:c r="G122" s="181" t="n">
        <x:v>0.008464328899637243</x:v>
      </x:c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78" t="str">
        <x:v>Madagascar</x:v>
      </x:c>
      <x:c r="B123" s="178" t="str">
        <x:v>MG</x:v>
      </x:c>
      <x:c r="C123" s="178" t="str">
        <x:v>AFRO</x:v>
      </x:c>
      <x:c r="D123" s="179" t="n">
        <x:v>46138</x:v>
      </x:c>
      <x:c r="E123" s="180" t="n">
        <x:v>68853</x:v>
      </x:c>
      <x:c r="F123" s="180" t="n">
        <x:v>1428</x:v>
      </x:c>
      <x:c r="G123" s="181" t="n">
        <x:v>0.02073983704413751</x:v>
      </x:c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78" t="str">
        <x:v>Eswatini</x:v>
      </x:c>
      <x:c r="B124" s="178" t="str">
        <x:v>SZ</x:v>
      </x:c>
      <x:c r="C124" s="178" t="str">
        <x:v>AFRO</x:v>
      </x:c>
      <x:c r="D124" s="179" t="n">
        <x:v>46138</x:v>
      </x:c>
      <x:c r="E124" s="180" t="n">
        <x:v>75356</x:v>
      </x:c>
      <x:c r="F124" s="180" t="n">
        <x:v>1427</x:v>
      </x:c>
      <x:c r="G124" s="181" t="n">
        <x:v>0.018936780083868572</x:v>
      </x:c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78" t="str">
        <x:v>Suriname</x:v>
      </x:c>
      <x:c r="B125" s="178" t="str">
        <x:v>SR</x:v>
      </x:c>
      <x:c r="C125" s="178" t="str">
        <x:v>AMRO</x:v>
      </x:c>
      <x:c r="D125" s="179" t="n">
        <x:v>46138</x:v>
      </x:c>
      <x:c r="E125" s="180" t="n">
        <x:v>82519</x:v>
      </x:c>
      <x:c r="F125" s="180" t="n">
        <x:v>1406</x:v>
      </x:c>
      <x:c r="G125" s="181" t="n">
        <x:v>0.017038500224190792</x:v>
      </x:c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78" t="str">
        <x:v>Cyprus</x:v>
      </x:c>
      <x:c r="B126" s="178" t="str">
        <x:v>CY</x:v>
      </x:c>
      <x:c r="C126" s="178" t="str">
        <x:v>EURO</x:v>
      </x:c>
      <x:c r="D126" s="179" t="n">
        <x:v>46138</x:v>
      </x:c>
      <x:c r="E126" s="180" t="n">
        <x:v>718876</x:v>
      </x:c>
      <x:c r="F126" s="180" t="n">
        <x:v>1364</x:v>
      </x:c>
      <x:c r="G126" s="181" t="n">
        <x:v>0.0018974065068245428</x:v>
      </x:c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78" t="str">
        <x:v>Somalia</x:v>
      </x:c>
      <x:c r="B127" s="178" t="str">
        <x:v>SO</x:v>
      </x:c>
      <x:c r="C127" s="178" t="str">
        <x:v>EMRO</x:v>
      </x:c>
      <x:c r="D127" s="179" t="n">
        <x:v>46138</x:v>
      </x:c>
      <x:c r="E127" s="180" t="n">
        <x:v>27334</x:v>
      </x:c>
      <x:c r="F127" s="180" t="n">
        <x:v>1361</x:v>
      </x:c>
      <x:c r="G127" s="181" t="n">
        <x:v>0.04979146850076827</x:v>
      </x:c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78" t="str">
        <x:v>Guyana</x:v>
      </x:c>
      <x:c r="B128" s="178" t="str">
        <x:v>GY</x:v>
      </x:c>
      <x:c r="C128" s="178" t="str">
        <x:v>AMRO</x:v>
      </x:c>
      <x:c r="D128" s="179" t="n">
        <x:v>46138</x:v>
      </x:c>
      <x:c r="E128" s="180" t="n">
        <x:v>75520</x:v>
      </x:c>
      <x:c r="F128" s="180" t="n">
        <x:v>1312</x:v>
      </x:c>
      <x:c r="G128" s="181" t="n">
        <x:v>0.017372881355932204</x:v>
      </x:c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78" t="str">
        <x:v>Malta</x:v>
      </x:c>
      <x:c r="B129" s="178" t="str">
        <x:v>MT</x:v>
      </x:c>
      <x:c r="C129" s="178" t="str">
        <x:v>EURO</x:v>
      </x:c>
      <x:c r="D129" s="179" t="n">
        <x:v>46138</x:v>
      </x:c>
      <x:c r="E129" s="180" t="n">
        <x:v>125310</x:v>
      </x:c>
      <x:c r="F129" s="180" t="n">
        <x:v>1128</x:v>
      </x:c>
      <x:c r="G129" s="181" t="n">
        <x:v>0.00900167584390711</x:v>
      </x:c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78" t="str">
        <x:v>Martinique</x:v>
      </x:c>
      <x:c r="B130" s="178" t="str">
        <x:v>MQ</x:v>
      </x:c>
      <x:c r="C130" s="178" t="str"/>
      <x:c r="D130" s="179" t="n">
        <x:v>46138</x:v>
      </x:c>
      <x:c r="E130" s="180" t="n">
        <x:v>230354</x:v>
      </x:c>
      <x:c r="F130" s="180" t="n">
        <x:v>1104</x:v>
      </x:c>
      <x:c r="G130" s="181" t="n">
        <x:v>0.004792623527266729</x:v>
      </x:c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78" t="str">
        <x:v>Mauritius</x:v>
      </x:c>
      <x:c r="B131" s="178" t="str">
        <x:v>MU</x:v>
      </x:c>
      <x:c r="C131" s="178" t="str">
        <x:v>AFRO</x:v>
      </x:c>
      <x:c r="D131" s="179" t="n">
        <x:v>46138</x:v>
      </x:c>
      <x:c r="E131" s="180" t="n">
        <x:v>332300</x:v>
      </x:c>
      <x:c r="F131" s="180" t="n">
        <x:v>1074</x:v>
      </x:c>
      <x:c r="G131" s="181" t="n">
        <x:v>0.0032320192597050856</x:v>
      </x:c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78" t="str">
        <x:v>Kyrgyzstan</x:v>
      </x:c>
      <x:c r="B132" s="178" t="str">
        <x:v>KG</x:v>
      </x:c>
      <x:c r="C132" s="178" t="str">
        <x:v>EURO</x:v>
      </x:c>
      <x:c r="D132" s="179" t="n">
        <x:v>46138</x:v>
      </x:c>
      <x:c r="E132" s="180" t="n">
        <x:v>88953</x:v>
      </x:c>
      <x:c r="F132" s="180" t="n">
        <x:v>1024</x:v>
      </x:c>
      <x:c r="G132" s="181" t="n">
        <x:v>0.011511697188402864</x:v>
      </x:c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78" t="str">
        <x:v>Guadeloupe</x:v>
      </x:c>
      <x:c r="B133" s="178" t="str">
        <x:v>GP</x:v>
      </x:c>
      <x:c r="C133" s="178" t="str"/>
      <x:c r="D133" s="179" t="n">
        <x:v>46138</x:v>
      </x:c>
      <x:c r="E133" s="180" t="n">
        <x:v>203235</x:v>
      </x:c>
      <x:c r="F133" s="180" t="n">
        <x:v>1021</x:v>
      </x:c>
      <x:c r="G133" s="181" t="n">
        <x:v>0.00502374098949492</x:v>
      </x:c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78" t="str">
        <x:v>Uzbekistan</x:v>
      </x:c>
      <x:c r="B134" s="178" t="str">
        <x:v>UZ</x:v>
      </x:c>
      <x:c r="C134" s="178" t="str">
        <x:v>EURO</x:v>
      </x:c>
      <x:c r="D134" s="179" t="n">
        <x:v>46138</x:v>
      </x:c>
      <x:c r="E134" s="180" t="n">
        <x:v>175158</x:v>
      </x:c>
      <x:c r="F134" s="180" t="n">
        <x:v>1016</x:v>
      </x:c>
      <x:c r="G134" s="181" t="n">
        <x:v>0.005800477283367017</x:v>
      </x:c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78" t="str">
        <x:v>Luxembourg</x:v>
      </x:c>
      <x:c r="B135" s="178" t="str">
        <x:v>LU</x:v>
      </x:c>
      <x:c r="C135" s="178" t="str">
        <x:v>EURO</x:v>
      </x:c>
      <x:c r="D135" s="179" t="n">
        <x:v>46138</x:v>
      </x:c>
      <x:c r="E135" s="180" t="n">
        <x:v>401645</x:v>
      </x:c>
      <x:c r="F135" s="180" t="n">
        <x:v>1000</x:v>
      </x:c>
      <x:c r="G135" s="181" t="n">
        <x:v>0.002489760858469544</x:v>
      </x:c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78" t="str">
        <x:v>Mauritania</x:v>
      </x:c>
      <x:c r="B136" s="178" t="str">
        <x:v>MR</x:v>
      </x:c>
      <x:c r="C136" s="178" t="str">
        <x:v>AFRO</x:v>
      </x:c>
      <x:c r="D136" s="179" t="n">
        <x:v>46138</x:v>
      </x:c>
      <x:c r="E136" s="180" t="n">
        <x:v>63891</x:v>
      </x:c>
      <x:c r="F136" s="180" t="n">
        <x:v>997</x:v>
      </x:c>
      <x:c r="G136" s="181" t="n">
        <x:v>0.01560470175768105</x:v>
      </x:c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78" t="str">
        <x:v>R�union</x:v>
      </x:c>
      <x:c r="B137" s="178" t="str">
        <x:v>RE</x:v>
      </x:c>
      <x:c r="C137" s="178" t="str"/>
      <x:c r="D137" s="179" t="n">
        <x:v>46138</x:v>
      </x:c>
      <x:c r="E137" s="180" t="n">
        <x:v>494595</x:v>
      </x:c>
      <x:c r="F137" s="180" t="n">
        <x:v>921</x:v>
      </x:c>
      <x:c r="G137" s="181" t="n">
        <x:v>0.0018621296212052284</x:v>
      </x:c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78" t="str">
        <x:v>Fiji</x:v>
      </x:c>
      <x:c r="B138" s="178" t="str">
        <x:v>FJ</x:v>
      </x:c>
      <x:c r="C138" s="178" t="str">
        <x:v>WPRO</x:v>
      </x:c>
      <x:c r="D138" s="179" t="n">
        <x:v>46138</x:v>
      </x:c>
      <x:c r="E138" s="180" t="n">
        <x:v>69047</x:v>
      </x:c>
      <x:c r="F138" s="180" t="n">
        <x:v>885</x:v>
      </x:c>
      <x:c r="G138" s="181" t="n">
        <x:v>0.012817356293539183</x:v>
      </x:c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78" t="str">
        <x:v>Haiti</x:v>
      </x:c>
      <x:c r="B139" s="178" t="str">
        <x:v>HT</x:v>
      </x:c>
      <x:c r="C139" s="178" t="str">
        <x:v>AMRO</x:v>
      </x:c>
      <x:c r="D139" s="179" t="n">
        <x:v>46138</x:v>
      </x:c>
      <x:c r="E139" s="180" t="n">
        <x:v>34901</x:v>
      </x:c>
      <x:c r="F139" s="180" t="n">
        <x:v>860</x:v>
      </x:c>
      <x:c r="G139" s="181" t="n">
        <x:v>0.024641127761382196</x:v>
      </x:c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78" t="str">
        <x:v>Bahamas</x:v>
      </x:c>
      <x:c r="B140" s="178" t="str">
        <x:v>BS</x:v>
      </x:c>
      <x:c r="C140" s="178" t="str">
        <x:v>AMRO</x:v>
      </x:c>
      <x:c r="D140" s="179" t="n">
        <x:v>46138</x:v>
      </x:c>
      <x:c r="E140" s="180" t="n">
        <x:v>39127</x:v>
      </x:c>
      <x:c r="F140" s="180" t="n">
        <x:v>849</x:v>
      </x:c>
      <x:c r="G140" s="181" t="n">
        <x:v>0.021698571319038004</x:v>
      </x:c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78" t="str">
        <x:v>United Republic of Tanzania</x:v>
      </x:c>
      <x:c r="B141" s="178" t="str">
        <x:v>TZ</x:v>
      </x:c>
      <x:c r="C141" s="178" t="str">
        <x:v>AFRO</x:v>
      </x:c>
      <x:c r="D141" s="179" t="n">
        <x:v>46138</x:v>
      </x:c>
      <x:c r="E141" s="180" t="n">
        <x:v>43655</x:v>
      </x:c>
      <x:c r="F141" s="180" t="n">
        <x:v>846</x:v>
      </x:c>
      <x:c r="G141" s="181" t="n">
        <x:v>0.019379223456648723</x:v>
      </x:c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78" t="str">
        <x:v>C�te d'Ivoire</x:v>
      </x:c>
      <x:c r="B142" s="178" t="str">
        <x:v>CI</x:v>
      </x:c>
      <x:c r="C142" s="178" t="str">
        <x:v>AFRO</x:v>
      </x:c>
      <x:c r="D142" s="179" t="n">
        <x:v>46138</x:v>
      </x:c>
      <x:c r="E142" s="180" t="n">
        <x:v>88548</x:v>
      </x:c>
      <x:c r="F142" s="180" t="n">
        <x:v>835</x:v>
      </x:c>
      <x:c r="G142" s="181" t="n">
        <x:v>0.009429913719112797</x:v>
      </x:c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78" t="str">
        <x:v>Mali</x:v>
      </x:c>
      <x:c r="B143" s="178" t="str">
        <x:v>ML</x:v>
      </x:c>
      <x:c r="C143" s="178" t="str">
        <x:v>AFRO</x:v>
      </x:c>
      <x:c r="D143" s="179" t="n">
        <x:v>46138</x:v>
      </x:c>
      <x:c r="E143" s="180" t="n">
        <x:v>33236</x:v>
      </x:c>
      <x:c r="F143" s="180" t="n">
        <x:v>743</x:v>
      </x:c>
      <x:c r="G143" s="181" t="n">
        <x:v>0.02235527741003731</x:v>
      </x:c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78" t="str">
        <x:v>Lesotho</x:v>
      </x:c>
      <x:c r="B144" s="178" t="str">
        <x:v>LS</x:v>
      </x:c>
      <x:c r="C144" s="178" t="str">
        <x:v>AFRO</x:v>
      </x:c>
      <x:c r="D144" s="179" t="n">
        <x:v>46138</x:v>
      </x:c>
      <x:c r="E144" s="180" t="n">
        <x:v>36140</x:v>
      </x:c>
      <x:c r="F144" s="180" t="n">
        <x:v>709</x:v>
      </x:c>
      <x:c r="G144" s="181" t="n">
        <x:v>0.01961815163254012</x:v>
      </x:c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78" t="str">
        <x:v>Qatar</x:v>
      </x:c>
      <x:c r="B145" s="178" t="str">
        <x:v>QA</x:v>
      </x:c>
      <x:c r="C145" s="178" t="str">
        <x:v>EMRO</x:v>
      </x:c>
      <x:c r="D145" s="179" t="n">
        <x:v>46138</x:v>
      </x:c>
      <x:c r="E145" s="180" t="n">
        <x:v>514524</x:v>
      </x:c>
      <x:c r="F145" s="180" t="n">
        <x:v>690</x:v>
      </x:c>
      <x:c r="G145" s="181" t="n">
        <x:v>0.001341045315670406</x:v>
      </x:c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78" t="str">
        <x:v>Belize</x:v>
      </x:c>
      <x:c r="B146" s="178" t="str">
        <x:v>BZ</x:v>
      </x:c>
      <x:c r="C146" s="178" t="str">
        <x:v>AMRO</x:v>
      </x:c>
      <x:c r="D146" s="179" t="n">
        <x:v>46138</x:v>
      </x:c>
      <x:c r="E146" s="180" t="n">
        <x:v>71493</x:v>
      </x:c>
      <x:c r="F146" s="180" t="n">
        <x:v>688</x:v>
      </x:c>
      <x:c r="G146" s="181" t="n">
        <x:v>0.009623319765571455</x:v>
      </x:c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78" t="str">
        <x:v>Lao People's Democratic Republic</x:v>
      </x:c>
      <x:c r="B147" s="178" t="str">
        <x:v>LA</x:v>
      </x:c>
      <x:c r="C147" s="178" t="str">
        <x:v>WPRO</x:v>
      </x:c>
      <x:c r="D147" s="179" t="n">
        <x:v>46138</x:v>
      </x:c>
      <x:c r="E147" s="180" t="n">
        <x:v>219060</x:v>
      </x:c>
      <x:c r="F147" s="180" t="n">
        <x:v>671</x:v>
      </x:c>
      <x:c r="G147" s="181" t="n">
        <x:v>0.0030630877385191273</x:v>
      </x:c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78" t="str">
        <x:v>Papua New Guinea</x:v>
      </x:c>
      <x:c r="B148" s="178" t="str">
        <x:v>PG</x:v>
      </x:c>
      <x:c r="C148" s="178" t="str">
        <x:v>WPRO</x:v>
      </x:c>
      <x:c r="D148" s="179" t="n">
        <x:v>46138</x:v>
      </x:c>
      <x:c r="E148" s="180" t="n">
        <x:v>46864</x:v>
      </x:c>
      <x:c r="F148" s="180" t="n">
        <x:v>670</x:v>
      </x:c>
      <x:c r="G148" s="181" t="n">
        <x:v>0.014296688289518607</x:v>
      </x:c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78" t="str">
        <x:v>French Polynesia</x:v>
      </x:c>
      <x:c r="B149" s="178" t="str">
        <x:v>PF</x:v>
      </x:c>
      <x:c r="C149" s="178" t="str">
        <x:v>WPRO</x:v>
      </x:c>
      <x:c r="D149" s="179" t="n">
        <x:v>46138</x:v>
      </x:c>
      <x:c r="E149" s="180" t="n">
        <x:v>79451</x:v>
      </x:c>
      <x:c r="F149" s="180" t="n">
        <x:v>650</x:v>
      </x:c>
      <x:c r="G149" s="181" t="n">
        <x:v>0.008181143094485909</x:v>
      </x:c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78" t="str">
        <x:v>Barbados</x:v>
      </x:c>
      <x:c r="B150" s="178" t="str">
        <x:v>BB</x:v>
      </x:c>
      <x:c r="C150" s="178" t="str">
        <x:v>AMRO</x:v>
      </x:c>
      <x:c r="D150" s="179" t="n">
        <x:v>46138</x:v>
      </x:c>
      <x:c r="E150" s="180" t="n">
        <x:v>109142</x:v>
      </x:c>
      <x:c r="F150" s="180" t="n">
        <x:v>593</x:v>
      </x:c>
      <x:c r="G150" s="181" t="n">
        <x:v>0.005433288743105312</x:v>
      </x:c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78" t="str">
        <x:v>Guinea</x:v>
      </x:c>
      <x:c r="B151" s="178" t="str">
        <x:v>GN</x:v>
      </x:c>
      <x:c r="C151" s="178" t="str">
        <x:v>AFRO</x:v>
      </x:c>
      <x:c r="D151" s="179" t="n">
        <x:v>46138</x:v>
      </x:c>
      <x:c r="E151" s="180" t="n">
        <x:v>38594</x:v>
      </x:c>
      <x:c r="F151" s="180" t="n">
        <x:v>468</x:v>
      </x:c>
      <x:c r="G151" s="181" t="n">
        <x:v>0.01212623723894906</x:v>
      </x:c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78" t="str">
        <x:v>Guam</x:v>
      </x:c>
      <x:c r="B152" s="178" t="str">
        <x:v>GU</x:v>
      </x:c>
      <x:c r="C152" s="178" t="str">
        <x:v>WPRO</x:v>
      </x:c>
      <x:c r="D152" s="179" t="n">
        <x:v>46138</x:v>
      </x:c>
      <x:c r="E152" s="180" t="n">
        <x:v>52287</x:v>
      </x:c>
      <x:c r="F152" s="180" t="n">
        <x:v>419</x:v>
      </x:c>
      <x:c r="G152" s="181" t="n">
        <x:v>0.008013464149788667</x:v>
      </x:c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78" t="str">
        <x:v>Cabo Verde</x:v>
      </x:c>
      <x:c r="B153" s="178" t="str">
        <x:v>CV</x:v>
      </x:c>
      <x:c r="C153" s="178" t="str">
        <x:v>AFRO</x:v>
      </x:c>
      <x:c r="D153" s="179" t="n">
        <x:v>46138</x:v>
      </x:c>
      <x:c r="E153" s="180" t="n">
        <x:v>64550</x:v>
      </x:c>
      <x:c r="F153" s="180" t="n">
        <x:v>417</x:v>
      </x:c>
      <x:c r="G153" s="181" t="n">
        <x:v>0.006460108443067389</x:v>
      </x:c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78" t="str">
        <x:v>French Guiana</x:v>
      </x:c>
      <x:c r="B154" s="178" t="str">
        <x:v>GF</x:v>
      </x:c>
      <x:c r="C154" s="178" t="str"/>
      <x:c r="D154" s="179" t="n">
        <x:v>46138</x:v>
      </x:c>
      <x:c r="E154" s="180" t="n">
        <x:v>98041</x:v>
      </x:c>
      <x:c r="F154" s="180" t="n">
        <x:v>413</x:v>
      </x:c>
      <x:c r="G154" s="181" t="n">
        <x:v>0.004212523332075356</x:v>
      </x:c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78" t="str">
        <x:v>Saint Lucia</x:v>
      </x:c>
      <x:c r="B155" s="178" t="str">
        <x:v>LC</x:v>
      </x:c>
      <x:c r="C155" s="178" t="str">
        <x:v>AMRO</x:v>
      </x:c>
      <x:c r="D155" s="179" t="n">
        <x:v>46138</x:v>
      </x:c>
      <x:c r="E155" s="180" t="n">
        <x:v>30254</x:v>
      </x:c>
      <x:c r="F155" s="180" t="n">
        <x:v>410</x:v>
      </x:c>
      <x:c r="G155" s="181" t="n">
        <x:v>0.013551927017914987</x:v>
      </x:c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78" t="str">
        <x:v>Burkina Faso</x:v>
      </x:c>
      <x:c r="B156" s="178" t="str">
        <x:v>BF</x:v>
      </x:c>
      <x:c r="C156" s="178" t="str">
        <x:v>AFRO</x:v>
      </x:c>
      <x:c r="D156" s="179" t="n">
        <x:v>46138</x:v>
      </x:c>
      <x:c r="E156" s="180" t="n">
        <x:v>22231</x:v>
      </x:c>
      <x:c r="F156" s="180" t="n">
        <x:v>400</x:v>
      </x:c>
      <x:c r="G156" s="181" t="n">
        <x:v>0.0179928928073411</x:v>
      </x:c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78" t="str">
        <x:v>Congo</x:v>
      </x:c>
      <x:c r="B157" s="178" t="str">
        <x:v>CG</x:v>
      </x:c>
      <x:c r="C157" s="178" t="str">
        <x:v>AFRO</x:v>
      </x:c>
      <x:c r="D157" s="179" t="n">
        <x:v>46138</x:v>
      </x:c>
      <x:c r="E157" s="180" t="n">
        <x:v>25234</x:v>
      </x:c>
      <x:c r="F157" s="180" t="n">
        <x:v>389</x:v>
      </x:c>
      <x:c r="G157" s="181" t="n">
        <x:v>0.01541570896409606</x:v>
      </x:c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78" t="str">
        <x:v>Gambia</x:v>
      </x:c>
      <x:c r="B158" s="178" t="str">
        <x:v>GM</x:v>
      </x:c>
      <x:c r="C158" s="178" t="str">
        <x:v>AFRO</x:v>
      </x:c>
      <x:c r="D158" s="179" t="n">
        <x:v>46138</x:v>
      </x:c>
      <x:c r="E158" s="180" t="n">
        <x:v>12627</x:v>
      </x:c>
      <x:c r="F158" s="180" t="n">
        <x:v>372</x:v>
      </x:c>
      <x:c r="G158" s="181" t="n">
        <x:v>0.029460679496317414</x:v>
      </x:c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78" t="str">
        <x:v>Maldives</x:v>
      </x:c>
      <x:c r="B159" s="178" t="str">
        <x:v>MV</x:v>
      </x:c>
      <x:c r="C159" s="178" t="str">
        <x:v>SEARO</x:v>
      </x:c>
      <x:c r="D159" s="179" t="n">
        <x:v>46138</x:v>
      </x:c>
      <x:c r="E159" s="180" t="n">
        <x:v>186694</x:v>
      </x:c>
      <x:c r="F159" s="180" t="n">
        <x:v>316</x:v>
      </x:c>
      <x:c r="G159" s="181" t="n">
        <x:v>0.0016926092964958703</x:v>
      </x:c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78" t="str">
        <x:v>Niger</x:v>
      </x:c>
      <x:c r="B160" s="178" t="str">
        <x:v>NE</x:v>
      </x:c>
      <x:c r="C160" s="178" t="str">
        <x:v>AFRO</x:v>
      </x:c>
      <x:c r="D160" s="179" t="n">
        <x:v>46138</x:v>
      </x:c>
      <x:c r="E160" s="180" t="n">
        <x:v>9591</x:v>
      </x:c>
      <x:c r="F160" s="180" t="n">
        <x:v>315</x:v>
      </x:c>
      <x:c r="G160" s="181" t="n">
        <x:v>0.032843290584923364</x:v>
      </x:c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78" t="str">
        <x:v>New Caledonia</x:v>
      </x:c>
      <x:c r="B161" s="178" t="str">
        <x:v>NC</x:v>
      </x:c>
      <x:c r="C161" s="178" t="str">
        <x:v>WPRO</x:v>
      </x:c>
      <x:c r="D161" s="179" t="n">
        <x:v>46138</x:v>
      </x:c>
      <x:c r="E161" s="180" t="n">
        <x:v>80203</x:v>
      </x:c>
      <x:c r="F161" s="180" t="n">
        <x:v>314</x:v>
      </x:c>
      <x:c r="G161" s="181" t="n">
        <x:v>0.003915065521239854</x:v>
      </x:c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78" t="str">
        <x:v>Gabon</x:v>
      </x:c>
      <x:c r="B162" s="178" t="str">
        <x:v>GA</x:v>
      </x:c>
      <x:c r="C162" s="178" t="str">
        <x:v>AFRO</x:v>
      </x:c>
      <x:c r="D162" s="179" t="n">
        <x:v>46138</x:v>
      </x:c>
      <x:c r="E162" s="180" t="n">
        <x:v>49069</x:v>
      </x:c>
      <x:c r="F162" s="180" t="n">
        <x:v>307</x:v>
      </x:c>
      <x:c r="G162" s="181" t="n">
        <x:v>0.006256495954676068</x:v>
      </x:c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78" t="str">
        <x:v>Cura�ao</x:v>
      </x:c>
      <x:c r="B163" s="178" t="str">
        <x:v>CW</x:v>
      </x:c>
      <x:c r="C163" s="178" t="str">
        <x:v>AMRO</x:v>
      </x:c>
      <x:c r="D163" s="179" t="n">
        <x:v>46138</x:v>
      </x:c>
      <x:c r="E163" s="180" t="n">
        <x:v>45883</x:v>
      </x:c>
      <x:c r="F163" s="180" t="n">
        <x:v>305</x:v>
      </x:c>
      <x:c r="G163" s="181" t="n">
        <x:v>0.0066473421528670746</x:v>
      </x:c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78" t="str">
        <x:v>Liberia</x:v>
      </x:c>
      <x:c r="B164" s="178" t="str">
        <x:v>LR</x:v>
      </x:c>
      <x:c r="C164" s="178" t="str">
        <x:v>AFRO</x:v>
      </x:c>
      <x:c r="D164" s="179" t="n">
        <x:v>46138</x:v>
      </x:c>
      <x:c r="E164" s="180" t="n">
        <x:v>7932</x:v>
      </x:c>
      <x:c r="F164" s="180" t="n">
        <x:v>294</x:v>
      </x:c>
      <x:c r="G164" s="181" t="n">
        <x:v>0.037065052950075644</x:v>
      </x:c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78" t="str">
        <x:v>Aruba</x:v>
      </x:c>
      <x:c r="B165" s="178" t="str">
        <x:v>AW</x:v>
      </x:c>
      <x:c r="C165" s="178" t="str">
        <x:v>AMRO</x:v>
      </x:c>
      <x:c r="D165" s="179" t="n">
        <x:v>46138</x:v>
      </x:c>
      <x:c r="E165" s="180" t="n">
        <x:v>44224</x:v>
      </x:c>
      <x:c r="F165" s="180" t="n">
        <x:v>292</x:v>
      </x:c>
      <x:c r="G165" s="181" t="n">
        <x:v>0.0066027496382054995</x:v>
      </x:c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78" t="str">
        <x:v>Togo</x:v>
      </x:c>
      <x:c r="B166" s="178" t="str">
        <x:v>TG</x:v>
      </x:c>
      <x:c r="C166" s="178" t="str">
        <x:v>AFRO</x:v>
      </x:c>
      <x:c r="D166" s="179" t="n">
        <x:v>46138</x:v>
      </x:c>
      <x:c r="E166" s="180" t="n">
        <x:v>39564</x:v>
      </x:c>
      <x:c r="F166" s="180" t="n">
        <x:v>290</x:v>
      </x:c>
      <x:c r="G166" s="181" t="n">
        <x:v>0.007329895864927712</x:v>
      </x:c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78" t="str">
        <x:v>Nicaragua</x:v>
      </x:c>
      <x:c r="B167" s="178" t="str">
        <x:v>NI</x:v>
      </x:c>
      <x:c r="C167" s="178" t="str">
        <x:v>AMRO</x:v>
      </x:c>
      <x:c r="D167" s="179" t="n">
        <x:v>46138</x:v>
      </x:c>
      <x:c r="E167" s="180" t="n">
        <x:v>16807</x:v>
      </x:c>
      <x:c r="F167" s="180" t="n">
        <x:v>245</x:v>
      </x:c>
      <x:c r="G167" s="181" t="n">
        <x:v>0.014577259475218658</x:v>
      </x:c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78" t="str">
        <x:v>Grenada</x:v>
      </x:c>
      <x:c r="B168" s="178" t="str">
        <x:v>GD</x:v>
      </x:c>
      <x:c r="C168" s="178" t="str">
        <x:v>AMRO</x:v>
      </x:c>
      <x:c r="D168" s="179" t="n">
        <x:v>46138</x:v>
      </x:c>
      <x:c r="E168" s="180" t="n">
        <x:v>19693</x:v>
      </x:c>
      <x:c r="F168" s="180" t="n">
        <x:v>238</x:v>
      </x:c>
      <x:c r="G168" s="181" t="n">
        <x:v>0.012085512618697</x:v>
      </x:c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78" t="str">
        <x:v>Solomon Islands</x:v>
      </x:c>
      <x:c r="B169" s="178" t="str">
        <x:v>SB</x:v>
      </x:c>
      <x:c r="C169" s="178" t="str">
        <x:v>WPRO</x:v>
      </x:c>
      <x:c r="D169" s="179" t="n">
        <x:v>46138</x:v>
      </x:c>
      <x:c r="E169" s="180" t="n">
        <x:v>25954</x:v>
      </x:c>
      <x:c r="F169" s="180" t="n">
        <x:v>199</x:v>
      </x:c>
      <x:c r="G169" s="181" t="n">
        <x:v>0.007667411574323804</x:v>
      </x:c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78" t="str">
        <x:v>Chad</x:v>
      </x:c>
      <x:c r="B170" s="178" t="str">
        <x:v>TD</x:v>
      </x:c>
      <x:c r="C170" s="178" t="str">
        <x:v>AFRO</x:v>
      </x:c>
      <x:c r="D170" s="179" t="n">
        <x:v>46138</x:v>
      </x:c>
      <x:c r="E170" s="180" t="n">
        <x:v>7702</x:v>
      </x:c>
      <x:c r="F170" s="180" t="n">
        <x:v>194</x:v>
      </x:c>
      <x:c r="G170" s="181" t="n">
        <x:v>0.025188262788886005</x:v>
      </x:c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78" t="str">
        <x:v>Djibouti</x:v>
      </x:c>
      <x:c r="B171" s="178" t="str">
        <x:v>DJ</x:v>
      </x:c>
      <x:c r="C171" s="178" t="str">
        <x:v>EMRO</x:v>
      </x:c>
      <x:c r="D171" s="179" t="n">
        <x:v>46138</x:v>
      </x:c>
      <x:c r="E171" s="180" t="n">
        <x:v>15690</x:v>
      </x:c>
      <x:c r="F171" s="180" t="n">
        <x:v>189</x:v>
      </x:c>
      <x:c r="G171" s="181" t="n">
        <x:v>0.012045889101338431</x:v>
      </x:c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78" t="str">
        <x:v>Mayotte</x:v>
      </x:c>
      <x:c r="B172" s="178" t="str">
        <x:v>YT</x:v>
      </x:c>
      <x:c r="C172" s="178" t="str"/>
      <x:c r="D172" s="179" t="n">
        <x:v>46138</x:v>
      </x:c>
      <x:c r="E172" s="180" t="n">
        <x:v>42027</x:v>
      </x:c>
      <x:c r="F172" s="180" t="n">
        <x:v>187</x:v>
      </x:c>
      <x:c r="G172" s="181" t="n">
        <x:v>0.0044495205463154636</x:v>
      </x:c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78" t="str">
        <x:v>Iceland</x:v>
      </x:c>
      <x:c r="B173" s="178" t="str">
        <x:v>IS</x:v>
      </x:c>
      <x:c r="C173" s="178" t="str">
        <x:v>EURO</x:v>
      </x:c>
      <x:c r="D173" s="179" t="n">
        <x:v>46138</x:v>
      </x:c>
      <x:c r="E173" s="180" t="n">
        <x:v>211288</x:v>
      </x:c>
      <x:c r="F173" s="180" t="n">
        <x:v>186</x:v>
      </x:c>
      <x:c r="G173" s="181" t="n">
        <x:v>0.0008803150202567112</x:v>
      </x:c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78" t="str">
        <x:v>Equatorial Guinea</x:v>
      </x:c>
      <x:c r="B174" s="178" t="str">
        <x:v>GQ</x:v>
      </x:c>
      <x:c r="C174" s="178" t="str">
        <x:v>AFRO</x:v>
      </x:c>
      <x:c r="D174" s="179" t="n">
        <x:v>46138</x:v>
      </x:c>
      <x:c r="E174" s="180" t="n">
        <x:v>17130</x:v>
      </x:c>
      <x:c r="F174" s="180" t="n">
        <x:v>183</x:v>
      </x:c>
      <x:c r="G174" s="181" t="n">
        <x:v>0.010683012259194396</x:v>
      </x:c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78" t="str">
        <x:v>Brunei Darussalam</x:v>
      </x:c>
      <x:c r="B175" s="178" t="str">
        <x:v>BN</x:v>
      </x:c>
      <x:c r="C175" s="178" t="str">
        <x:v>WPRO</x:v>
      </x:c>
      <x:c r="D175" s="179" t="n">
        <x:v>46138</x:v>
      </x:c>
      <x:c r="E175" s="180" t="n">
        <x:v>350550</x:v>
      </x:c>
      <x:c r="F175" s="180" t="n">
        <x:v>182</x:v>
      </x:c>
      <x:c r="G175" s="181" t="n">
        <x:v>0.0005191841392098132</x:v>
      </x:c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78" t="str">
        <x:v>Guinea-Bissau</x:v>
      </x:c>
      <x:c r="B176" s="178" t="str">
        <x:v>GW</x:v>
      </x:c>
      <x:c r="C176" s="178" t="str">
        <x:v>AFRO</x:v>
      </x:c>
      <x:c r="D176" s="179" t="n">
        <x:v>46138</x:v>
      </x:c>
      <x:c r="E176" s="180" t="n">
        <x:v>9614</x:v>
      </x:c>
      <x:c r="F176" s="180" t="n">
        <x:v>177</x:v>
      </x:c>
      <x:c r="G176" s="181" t="n">
        <x:v>0.01841065113376326</x:v>
      </x:c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78" t="str">
        <x:v>Seychelles</x:v>
      </x:c>
      <x:c r="B177" s="178" t="str">
        <x:v>SC</x:v>
      </x:c>
      <x:c r="C177" s="178" t="str">
        <x:v>AFRO</x:v>
      </x:c>
      <x:c r="D177" s="179" t="n">
        <x:v>46138</x:v>
      </x:c>
      <x:c r="E177" s="180" t="n">
        <x:v>51899</x:v>
      </x:c>
      <x:c r="F177" s="180" t="n">
        <x:v>172</x:v>
      </x:c>
      <x:c r="G177" s="181" t="n">
        <x:v>0.0033141293666544636</x:v>
      </x:c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78" t="str">
        <x:v>Bermuda</x:v>
      </x:c>
      <x:c r="B178" s="178" t="str">
        <x:v>BM</x:v>
      </x:c>
      <x:c r="C178" s="178" t="str">
        <x:v>AMRO</x:v>
      </x:c>
      <x:c r="D178" s="179" t="n">
        <x:v>46138</x:v>
      </x:c>
      <x:c r="E178" s="180" t="n">
        <x:v>18860</x:v>
      </x:c>
      <x:c r="F178" s="180" t="n">
        <x:v>165</x:v>
      </x:c>
      <x:c r="G178" s="181" t="n">
        <x:v>0.008748674443266172</x:v>
      </x:c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78" t="str">
        <x:v>Benin</x:v>
      </x:c>
      <x:c r="B179" s="178" t="str">
        <x:v>BJ</x:v>
      </x:c>
      <x:c r="C179" s="178" t="str">
        <x:v>AFRO</x:v>
      </x:c>
      <x:c r="D179" s="179" t="n">
        <x:v>46138</x:v>
      </x:c>
      <x:c r="E179" s="180" t="n">
        <x:v>28036</x:v>
      </x:c>
      <x:c r="F179" s="180" t="n">
        <x:v>163</x:v>
      </x:c>
      <x:c r="G179" s="181" t="n">
        <x:v>0.005813953488372093</x:v>
      </x:c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78" t="str">
        <x:v>Jersey</x:v>
      </x:c>
      <x:c r="B180" s="178" t="str">
        <x:v>JE</x:v>
      </x:c>
      <x:c r="C180" s="178" t="str"/>
      <x:c r="D180" s="179" t="n">
        <x:v>46138</x:v>
      </x:c>
      <x:c r="E180" s="180" t="n">
        <x:v>66391</x:v>
      </x:c>
      <x:c r="F180" s="180" t="n">
        <x:v>161</x:v>
      </x:c>
      <x:c r="G180" s="181" t="n">
        <x:v>0.0024250274886656324</x:v>
      </x:c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78" t="str">
        <x:v>Comoros</x:v>
      </x:c>
      <x:c r="B181" s="178" t="str">
        <x:v>KM</x:v>
      </x:c>
      <x:c r="C181" s="178" t="str">
        <x:v>AFRO</x:v>
      </x:c>
      <x:c r="D181" s="179" t="n">
        <x:v>46138</x:v>
      </x:c>
      <x:c r="E181" s="180" t="n">
        <x:v>9109</x:v>
      </x:c>
      <x:c r="F181" s="180" t="n">
        <x:v>160</x:v>
      </x:c>
      <x:c r="G181" s="181" t="n">
        <x:v>0.01756504555933692</x:v>
      </x:c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78" t="str">
        <x:v>Andorra</x:v>
      </x:c>
      <x:c r="B182" s="178" t="str">
        <x:v>AD</x:v>
      </x:c>
      <x:c r="C182" s="178" t="str">
        <x:v>EURO</x:v>
      </x:c>
      <x:c r="D182" s="179" t="n">
        <x:v>46138</x:v>
      </x:c>
      <x:c r="E182" s="180" t="n">
        <x:v>48015</x:v>
      </x:c>
      <x:c r="F182" s="180" t="n">
        <x:v>159</x:v>
      </x:c>
      <x:c r="G182" s="181" t="n">
        <x:v>0.00331146516713527</x:v>
      </x:c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78" t="str">
        <x:v>South Sudan</x:v>
      </x:c>
      <x:c r="B183" s="178" t="str">
        <x:v>SS</x:v>
      </x:c>
      <x:c r="C183" s="178" t="str">
        <x:v>AFRO</x:v>
      </x:c>
      <x:c r="D183" s="179" t="n">
        <x:v>46138</x:v>
      </x:c>
      <x:c r="E183" s="180" t="n">
        <x:v>18873</x:v>
      </x:c>
      <x:c r="F183" s="180" t="n">
        <x:v>147</x:v>
      </x:c>
      <x:c r="G183" s="181" t="n">
        <x:v>0.007788904784612939</x:v>
      </x:c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78" t="str">
        <x:v>Antigua and Barbuda</x:v>
      </x:c>
      <x:c r="B184" s="178" t="str">
        <x:v>AG</x:v>
      </x:c>
      <x:c r="C184" s="178" t="str">
        <x:v>AMRO</x:v>
      </x:c>
      <x:c r="D184" s="179" t="n">
        <x:v>46138</x:v>
      </x:c>
      <x:c r="E184" s="180" t="n">
        <x:v>9106</x:v>
      </x:c>
      <x:c r="F184" s="180" t="n">
        <x:v>146</x:v>
      </x:c>
      <x:c r="G184" s="181" t="n">
        <x:v>0.01603338458159455</x:v>
      </x:c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78" t="str">
        <x:v>Timor-Leste</x:v>
      </x:c>
      <x:c r="B185" s="178" t="str">
        <x:v>TL</x:v>
      </x:c>
      <x:c r="C185" s="178" t="str">
        <x:v>SEARO</x:v>
      </x:c>
      <x:c r="D185" s="179" t="n">
        <x:v>46138</x:v>
      </x:c>
      <x:c r="E185" s="180" t="n">
        <x:v>23460</x:v>
      </x:c>
      <x:c r="F185" s="180" t="n">
        <x:v>138</x:v>
      </x:c>
      <x:c r="G185" s="181" t="n">
        <x:v>0.0058823529411764705</x:v>
      </x:c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78" t="str">
        <x:v>United States Virgin Islands</x:v>
      </x:c>
      <x:c r="B186" s="178" t="str">
        <x:v>VI</x:v>
      </x:c>
      <x:c r="C186" s="178" t="str">
        <x:v>AMRO</x:v>
      </x:c>
      <x:c r="D186" s="179" t="n">
        <x:v>46138</x:v>
      </x:c>
      <x:c r="E186" s="180" t="n">
        <x:v>25389</x:v>
      </x:c>
      <x:c r="F186" s="180" t="n">
        <x:v>132</x:v>
      </x:c>
      <x:c r="G186" s="181" t="n">
        <x:v>0.005199101973295522</x:v>
      </x:c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78" t="str">
        <x:v>San Marino</x:v>
      </x:c>
      <x:c r="B187" s="178" t="str">
        <x:v>SM</x:v>
      </x:c>
      <x:c r="C187" s="178" t="str">
        <x:v>EURO</x:v>
      </x:c>
      <x:c r="D187" s="179" t="n">
        <x:v>46138</x:v>
      </x:c>
      <x:c r="E187" s="180" t="n">
        <x:v>25292</x:v>
      </x:c>
      <x:c r="F187" s="180" t="n">
        <x:v>126</x:v>
      </x:c>
      <x:c r="G187" s="181" t="n">
        <x:v>0.00498181243080816</x:v>
      </x:c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78" t="str">
        <x:v>Sierra Leone</x:v>
      </x:c>
      <x:c r="B188" s="178" t="str">
        <x:v>SL</x:v>
      </x:c>
      <x:c r="C188" s="178" t="str">
        <x:v>AFRO</x:v>
      </x:c>
      <x:c r="D188" s="179" t="n">
        <x:v>46138</x:v>
      </x:c>
      <x:c r="E188" s="180" t="n">
        <x:v>7985</x:v>
      </x:c>
      <x:c r="F188" s="180" t="n">
        <x:v>125</x:v>
      </x:c>
      <x:c r="G188" s="181" t="n">
        <x:v>0.015654351909830933</x:v>
      </x:c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78" t="str">
        <x:v>Tajikistan</x:v>
      </x:c>
      <x:c r="B189" s="178" t="str">
        <x:v>TJ</x:v>
      </x:c>
      <x:c r="C189" s="178" t="str">
        <x:v>EURO</x:v>
      </x:c>
      <x:c r="D189" s="179" t="n">
        <x:v>46138</x:v>
      </x:c>
      <x:c r="E189" s="180" t="n">
        <x:v>17786</x:v>
      </x:c>
      <x:c r="F189" s="180" t="n">
        <x:v>125</x:v>
      </x:c>
      <x:c r="G189" s="181" t="n">
        <x:v>0.0070279995502080285</x:v>
      </x:c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78" t="str">
        <x:v>Saint Vincent and the Grenadines</x:v>
      </x:c>
      <x:c r="B190" s="178" t="str">
        <x:v>VC</x:v>
      </x:c>
      <x:c r="C190" s="178" t="str">
        <x:v>AMRO</x:v>
      </x:c>
      <x:c r="D190" s="179" t="n">
        <x:v>46138</x:v>
      </x:c>
      <x:c r="E190" s="180" t="n">
        <x:v>9674</x:v>
      </x:c>
      <x:c r="F190" s="180" t="n">
        <x:v>124</x:v>
      </x:c>
      <x:c r="G190" s="181" t="n">
        <x:v>0.012817862311350011</x:v>
      </x:c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78" t="str">
        <x:v>Isle of Man</x:v>
      </x:c>
      <x:c r="B191" s="178" t="str">
        <x:v>IM</x:v>
      </x:c>
      <x:c r="C191" s="178" t="str"/>
      <x:c r="D191" s="179" t="n">
        <x:v>46138</x:v>
      </x:c>
      <x:c r="E191" s="180" t="n">
        <x:v>38008</x:v>
      </x:c>
      <x:c r="F191" s="180" t="n">
        <x:v>116</x:v>
      </x:c>
      <x:c r="G191" s="181" t="n">
        <x:v>0.003051989054935803</x:v>
      </x:c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 t="str">
        <x:v>Central African Republic</x:v>
      </x:c>
      <x:c r="B192" s="178" t="str">
        <x:v>CF</x:v>
      </x:c>
      <x:c r="C192" s="178" t="str">
        <x:v>AFRO</x:v>
      </x:c>
      <x:c r="D192" s="179" t="n">
        <x:v>46138</x:v>
      </x:c>
      <x:c r="E192" s="180" t="n">
        <x:v>15493</x:v>
      </x:c>
      <x:c r="F192" s="180" t="n">
        <x:v>113</x:v>
      </x:c>
      <x:c r="G192" s="181" t="n">
        <x:v>0.007293616471955077</x:v>
      </x:c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 t="str">
        <x:v>Gibraltar</x:v>
      </x:c>
      <x:c r="B193" s="178" t="str">
        <x:v>GI</x:v>
      </x:c>
      <x:c r="C193" s="178" t="str"/>
      <x:c r="D193" s="179" t="n">
        <x:v>46138</x:v>
      </x:c>
      <x:c r="E193" s="180" t="n">
        <x:v>20550</x:v>
      </x:c>
      <x:c r="F193" s="180" t="n">
        <x:v>113</x:v>
      </x:c>
      <x:c r="G193" s="181" t="n">
        <x:v>0.005498783454987835</x:v>
      </x:c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 t="str">
        <x:v>Eritrea</x:v>
      </x:c>
      <x:c r="B194" s="178" t="str">
        <x:v>ER</x:v>
      </x:c>
      <x:c r="C194" s="178" t="str">
        <x:v>AFRO</x:v>
      </x:c>
      <x:c r="D194" s="179" t="n">
        <x:v>46138</x:v>
      </x:c>
      <x:c r="E194" s="180" t="n">
        <x:v>10189</x:v>
      </x:c>
      <x:c r="F194" s="180" t="n">
        <x:v>103</x:v>
      </x:c>
      <x:c r="G194" s="181" t="n">
        <x:v>0.010108941014819904</x:v>
      </x:c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 t="str">
        <x:v>Sint Maarten (Dutch part)</x:v>
      </x:c>
      <x:c r="B195" s="178" t="str">
        <x:v>SX</x:v>
      </x:c>
      <x:c r="C195" s="178" t="str">
        <x:v>AMRO</x:v>
      </x:c>
      <x:c r="D195" s="179" t="n">
        <x:v>46138</x:v>
      </x:c>
      <x:c r="E195" s="180" t="n">
        <x:v>11051</x:v>
      </x:c>
      <x:c r="F195" s="180" t="n">
        <x:v>92</x:v>
      </x:c>
      <x:c r="G195" s="181" t="n">
        <x:v>0.008325038458058095</x:v>
      </x:c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 t="str">
        <x:v>Liechtenstein</x:v>
      </x:c>
      <x:c r="B196" s="178" t="str">
        <x:v>LI</x:v>
      </x:c>
      <x:c r="C196" s="178" t="str"/>
      <x:c r="D196" s="179" t="n">
        <x:v>46138</x:v>
      </x:c>
      <x:c r="E196" s="180" t="n">
        <x:v>21649</x:v>
      </x:c>
      <x:c r="F196" s="180" t="n">
        <x:v>89</x:v>
      </x:c>
      <x:c r="G196" s="181" t="n">
        <x:v>0.004111044390041111</x:v>
      </x:c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 t="str">
        <x:v>Sao Tome and Principe</x:v>
      </x:c>
      <x:c r="B197" s="178" t="str">
        <x:v>ST</x:v>
      </x:c>
      <x:c r="C197" s="178" t="str">
        <x:v>AFRO</x:v>
      </x:c>
      <x:c r="D197" s="179" t="n">
        <x:v>46138</x:v>
      </x:c>
      <x:c r="E197" s="180" t="n">
        <x:v>6771</x:v>
      </x:c>
      <x:c r="F197" s="180" t="n">
        <x:v>80</x:v>
      </x:c>
      <x:c r="G197" s="181" t="n">
        <x:v>0.011815093782306897</x:v>
      </x:c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 t="str">
        <x:v>Dominica</x:v>
      </x:c>
      <x:c r="B198" s="178" t="str">
        <x:v>DM</x:v>
      </x:c>
      <x:c r="C198" s="178" t="str">
        <x:v>AMRO</x:v>
      </x:c>
      <x:c r="D198" s="179" t="n">
        <x:v>46138</x:v>
      </x:c>
      <x:c r="E198" s="180" t="n">
        <x:v>16047</x:v>
      </x:c>
      <x:c r="F198" s="180" t="n">
        <x:v>74</x:v>
      </x:c>
      <x:c r="G198" s="181" t="n">
        <x:v>0.004611453854302985</x:v>
      </x:c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 t="str">
        <x:v>Guernsey</x:v>
      </x:c>
      <x:c r="B199" s="178" t="str">
        <x:v>GG</x:v>
      </x:c>
      <x:c r="C199" s="178" t="str"/>
      <x:c r="D199" s="179" t="n">
        <x:v>46138</x:v>
      </x:c>
      <x:c r="E199" s="180" t="n">
        <x:v>35326</x:v>
      </x:c>
      <x:c r="F199" s="180" t="n">
        <x:v>67</x:v>
      </x:c>
      <x:c r="G199" s="181" t="n">
        <x:v>0.0018966200532185926</x:v>
      </x:c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 t="str">
        <x:v>Monaco</x:v>
      </x:c>
      <x:c r="B200" s="178" t="str">
        <x:v>MC</x:v>
      </x:c>
      <x:c r="C200" s="178" t="str">
        <x:v>EURO</x:v>
      </x:c>
      <x:c r="D200" s="179" t="n">
        <x:v>46138</x:v>
      </x:c>
      <x:c r="E200" s="180" t="n">
        <x:v>17181</x:v>
      </x:c>
      <x:c r="F200" s="180" t="n">
        <x:v>67</x:v>
      </x:c>
      <x:c r="G200" s="181" t="n">
        <x:v>0.0038996565974041093</x:v>
      </x:c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  <x:row r="201">
      <x:c r="A201" t="str">
        <x:v>British Virgin Islands</x:v>
      </x:c>
      <x:c r="B201" t="str">
        <x:v>VG</x:v>
      </x:c>
      <x:c r="C201" t="str">
        <x:v>AMRO</x:v>
      </x:c>
      <x:c r="D201" s="28" t="n">
        <x:v>46138</x:v>
      </x:c>
      <x:c r="E201" s="30" t="n">
        <x:v>7661</x:v>
      </x:c>
      <x:c r="F201" s="30" t="n">
        <x:v>64</x:v>
      </x:c>
      <x:c r="G201" s="32" t="n">
        <x:v>0.008354000783187574</x:v>
      </x:c>
    </x:row>
    <x:row r="202">
      <x:c r="A202" t="str">
        <x:v>Micronesia (Federated States of)</x:v>
      </x:c>
      <x:c r="B202" t="str">
        <x:v>FM</x:v>
      </x:c>
      <x:c r="C202" t="str">
        <x:v>WPRO</x:v>
      </x:c>
      <x:c r="D202" s="28" t="n">
        <x:v>46138</x:v>
      </x:c>
      <x:c r="E202" s="30" t="n">
        <x:v>31765</x:v>
      </x:c>
      <x:c r="F202" s="30" t="n">
        <x:v>62</x:v>
      </x:c>
      <x:c r="G202" s="32" t="n">
        <x:v>0.0019518337793168583</x:v>
      </x:c>
    </x:row>
    <x:row r="203">
      <x:c r="A203" t="str">
        <x:v>Saint Kitts and Nevis</x:v>
      </x:c>
      <x:c r="B203" t="str">
        <x:v>KN</x:v>
      </x:c>
      <x:c r="C203" t="str">
        <x:v>AMRO</x:v>
      </x:c>
      <x:c r="D203" s="28" t="n">
        <x:v>46138</x:v>
      </x:c>
      <x:c r="E203" s="30" t="n">
        <x:v>6607</x:v>
      </x:c>
      <x:c r="F203" s="30" t="n">
        <x:v>46</x:v>
      </x:c>
      <x:c r="G203" s="32" t="n">
        <x:v>0.006962312698652944</x:v>
      </x:c>
    </x:row>
    <x:row r="204">
      <x:c r="A204" t="str">
        <x:v>Saint Martin (French part)</x:v>
      </x:c>
      <x:c r="B204" t="str">
        <x:v>MF</x:v>
      </x:c>
      <x:c r="C204" t="str"/>
      <x:c r="D204" s="28" t="n">
        <x:v>46138</x:v>
      </x:c>
      <x:c r="E204" s="30" t="n">
        <x:v>12324</x:v>
      </x:c>
      <x:c r="F204" s="30" t="n">
        <x:v>46</x:v>
      </x:c>
      <x:c r="G204" s="32" t="n">
        <x:v>0.003732554365465758</x:v>
      </x:c>
    </x:row>
    <x:row r="205">
      <x:c r="A205" t="str">
        <x:v>Bonaire, Saint Eustatius and Saba</x:v>
      </x:c>
      <x:c r="B205" t="str">
        <x:v>BQ</x:v>
      </x:c>
      <x:c r="C205" t="str">
        <x:v>AMRO</x:v>
      </x:c>
      <x:c r="D205" s="28" t="n">
        <x:v>46138</x:v>
      </x:c>
      <x:c r="E205" s="30" t="n">
        <x:v>11922</x:v>
      </x:c>
      <x:c r="F205" s="30" t="n">
        <x:v>41</x:v>
      </x:c>
      <x:c r="G205" s="32" t="n">
        <x:v>0.003439020298607616</x:v>
      </x:c>
    </x:row>
    <x:row r="206">
      <x:c r="A206" t="str">
        <x:v>Northern Mariana Islands</x:v>
      </x:c>
      <x:c r="B206" t="str">
        <x:v>MP</x:v>
      </x:c>
      <x:c r="C206" t="str">
        <x:v>WPRO</x:v>
      </x:c>
      <x:c r="D206" s="28" t="n">
        <x:v>46138</x:v>
      </x:c>
      <x:c r="E206" s="30" t="n">
        <x:v>14985</x:v>
      </x:c>
      <x:c r="F206" s="30" t="n">
        <x:v>41</x:v>
      </x:c>
      <x:c r="G206" s="32" t="n">
        <x:v>0.0027360694027360696</x:v>
      </x:c>
    </x:row>
    <x:row r="207">
      <x:c r="A207" t="str">
        <x:v>Turks and Caicos Islands</x:v>
      </x:c>
      <x:c r="B207" t="str">
        <x:v>TC</x:v>
      </x:c>
      <x:c r="C207" t="str">
        <x:v>AMRO</x:v>
      </x:c>
      <x:c r="D207" s="28" t="n">
        <x:v>46138</x:v>
      </x:c>
      <x:c r="E207" s="30" t="n">
        <x:v>6935</x:v>
      </x:c>
      <x:c r="F207" s="30" t="n">
        <x:v>41</x:v>
      </x:c>
      <x:c r="G207" s="32" t="n">
        <x:v>0.005912040374909878</x:v>
      </x:c>
    </x:row>
    <x:row r="208">
      <x:c r="A208" t="str">
        <x:v>Cayman Islands</x:v>
      </x:c>
      <x:c r="B208" t="str">
        <x:v>KY</x:v>
      </x:c>
      <x:c r="C208" t="str">
        <x:v>AMRO</x:v>
      </x:c>
      <x:c r="D208" s="28" t="n">
        <x:v>46138</x:v>
      </x:c>
      <x:c r="E208" s="30" t="n">
        <x:v>31472</x:v>
      </x:c>
      <x:c r="F208" s="30" t="n">
        <x:v>37</x:v>
      </x:c>
      <x:c r="G208" s="32" t="n">
        <x:v>0.001175648195221149</x:v>
      </x:c>
    </x:row>
    <x:row r="209">
      <x:c r="A209" t="str">
        <x:v>American Samoa</x:v>
      </x:c>
      <x:c r="B209" t="str">
        <x:v>AS</x:v>
      </x:c>
      <x:c r="C209" t="str">
        <x:v>WPRO</x:v>
      </x:c>
      <x:c r="D209" s="28" t="n">
        <x:v>46138</x:v>
      </x:c>
      <x:c r="E209" s="30" t="n">
        <x:v>8359</x:v>
      </x:c>
      <x:c r="F209" s="30" t="n">
        <x:v>34</x:v>
      </x:c>
      <x:c r="G209" s="32" t="n">
        <x:v>0.004067472185668142</x:v>
      </x:c>
    </x:row>
    <x:row r="210">
      <x:c r="A210" t="str">
        <x:v>Samoa</x:v>
      </x:c>
      <x:c r="B210" t="str">
        <x:v>WS</x:v>
      </x:c>
      <x:c r="C210" t="str">
        <x:v>WPRO</x:v>
      </x:c>
      <x:c r="D210" s="28" t="n">
        <x:v>46138</x:v>
      </x:c>
      <x:c r="E210" s="30" t="n">
        <x:v>17057</x:v>
      </x:c>
      <x:c r="F210" s="30" t="n">
        <x:v>31</x:v>
      </x:c>
      <x:c r="G210" s="32" t="n">
        <x:v>0.0018174356569150495</x:v>
      </x:c>
    </x:row>
    <x:row r="211">
      <x:c r="A211" t="str">
        <x:v>Faroe Islands</x:v>
      </x:c>
      <x:c r="B211" t="str">
        <x:v>FO</x:v>
      </x:c>
      <x:c r="C211" t="str"/>
      <x:c r="D211" s="28" t="n">
        <x:v>46138</x:v>
      </x:c>
      <x:c r="E211" s="30" t="n">
        <x:v>34658</x:v>
      </x:c>
      <x:c r="F211" s="30" t="n">
        <x:v>28</x:v>
      </x:c>
      <x:c r="G211" s="32" t="n">
        <x:v>0.0008078942812626233</x:v>
      </x:c>
    </x:row>
    <x:row r="212">
      <x:c r="A212" t="str">
        <x:v>Kiribati</x:v>
      </x:c>
      <x:c r="B212" t="str">
        <x:v>KI</x:v>
      </x:c>
      <x:c r="C212" t="str">
        <x:v>WPRO</x:v>
      </x:c>
      <x:c r="D212" s="28" t="n">
        <x:v>46138</x:v>
      </x:c>
      <x:c r="E212" s="30" t="n">
        <x:v>5085</x:v>
      </x:c>
      <x:c r="F212" s="30" t="n">
        <x:v>24</x:v>
      </x:c>
      <x:c r="G212" s="32" t="n">
        <x:v>0.00471976401179941</x:v>
      </x:c>
    </x:row>
    <x:row r="213">
      <x:c r="A213" t="str">
        <x:v>Bhutan</x:v>
      </x:c>
      <x:c r="B213" t="str">
        <x:v>BT</x:v>
      </x:c>
      <x:c r="C213" t="str">
        <x:v>SEARO</x:v>
      </x:c>
      <x:c r="D213" s="28" t="n">
        <x:v>46138</x:v>
      </x:c>
      <x:c r="E213" s="30" t="n">
        <x:v>62954</x:v>
      </x:c>
      <x:c r="F213" s="30" t="n">
        <x:v>21</x:v>
      </x:c>
      <x:c r="G213" s="32" t="n">
        <x:v>0.0003335768974171617</x:v>
      </x:c>
    </x:row>
    <x:row r="214">
      <x:c r="A214" t="str">
        <x:v>Greenland</x:v>
      </x:c>
      <x:c r="B214" t="str">
        <x:v>GL</x:v>
      </x:c>
      <x:c r="C214" t="str">
        <x:v>EURO</x:v>
      </x:c>
      <x:c r="D214" s="28" t="n">
        <x:v>46138</x:v>
      </x:c>
      <x:c r="E214" s="30" t="n">
        <x:v>11971</x:v>
      </x:c>
      <x:c r="F214" s="30" t="n">
        <x:v>21</x:v>
      </x:c>
      <x:c r="G214" s="32" t="n">
        <x:v>0.001754239411912121</x:v>
      </x:c>
    </x:row>
    <x:row r="215">
      <x:c r="A215" t="str">
        <x:v>Marshall Islands</x:v>
      </x:c>
      <x:c r="B215" t="str">
        <x:v>MH</x:v>
      </x:c>
      <x:c r="C215" t="str">
        <x:v>WPRO</x:v>
      </x:c>
      <x:c r="D215" s="28" t="n">
        <x:v>46138</x:v>
      </x:c>
      <x:c r="E215" s="30" t="n">
        <x:v>16297</x:v>
      </x:c>
      <x:c r="F215" s="30" t="n">
        <x:v>17</x:v>
      </x:c>
      <x:c r="G215" s="32" t="n">
        <x:v>0.0010431367736393202</x:v>
      </x:c>
    </x:row>
    <x:row r="216">
      <x:c r="A216" t="str">
        <x:v>Burundi</x:v>
      </x:c>
      <x:c r="B216" t="str">
        <x:v>BI</x:v>
      </x:c>
      <x:c r="C216" t="str">
        <x:v>AFRO</x:v>
      </x:c>
      <x:c r="D216" s="28" t="n">
        <x:v>46138</x:v>
      </x:c>
      <x:c r="E216" s="30" t="n">
        <x:v>54569</x:v>
      </x:c>
      <x:c r="F216" s="30" t="n">
        <x:v>15</x:v>
      </x:c>
      <x:c r="G216" s="32" t="n">
        <x:v>0.00027488134288698713</x:v>
      </x:c>
    </x:row>
    <x:row r="217">
      <x:c r="A217" t="str">
        <x:v>Vanuatu</x:v>
      </x:c>
      <x:c r="B217" t="str">
        <x:v>VU</x:v>
      </x:c>
      <x:c r="C217" t="str">
        <x:v>WPRO</x:v>
      </x:c>
      <x:c r="D217" s="28" t="n">
        <x:v>46138</x:v>
      </x:c>
      <x:c r="E217" s="30" t="n">
        <x:v>12019</x:v>
      </x:c>
      <x:c r="F217" s="30" t="n">
        <x:v>14</x:v>
      </x:c>
      <x:c r="G217" s="32" t="n">
        <x:v>0.0011648223645894002</x:v>
      </x:c>
    </x:row>
    <x:row r="218">
      <x:c r="A218" t="str">
        <x:v>Tonga</x:v>
      </x:c>
      <x:c r="B218" t="str">
        <x:v>TO</x:v>
      </x:c>
      <x:c r="C218" t="str">
        <x:v>WPRO</x:v>
      </x:c>
      <x:c r="D218" s="28" t="n">
        <x:v>46138</x:v>
      </x:c>
      <x:c r="E218" s="30" t="n">
        <x:v>16992</x:v>
      </x:c>
      <x:c r="F218" s="30" t="n">
        <x:v>13</x:v>
      </x:c>
      <x:c r="G218" s="32" t="n">
        <x:v>0.0007650659133709981</x:v>
      </x:c>
    </x:row>
    <x:row r="219">
      <x:c r="A219" t="str">
        <x:v>International conveyance (Diamond Princess)</x:v>
      </x:c>
      <x:c r="B219" t="str">
        <x:v>XXJ</x:v>
      </x:c>
      <x:c r="C219" t="str">
        <x:v>OTHER</x:v>
      </x:c>
      <x:c r="D219" s="28" t="n">
        <x:v>46138</x:v>
      </x:c>
      <x:c r="E219" s="30" t="n">
        <x:v>712</x:v>
      </x:c>
      <x:c r="F219" s="30" t="n">
        <x:v>13</x:v>
      </x:c>
      <x:c r="G219" s="32" t="n">
        <x:v>0.018258426966292134</x:v>
      </x:c>
    </x:row>
    <x:row r="220">
      <x:c r="A220" t="str">
        <x:v>Anguilla</x:v>
      </x:c>
      <x:c r="B220" t="str">
        <x:v>AI</x:v>
      </x:c>
      <x:c r="C220" t="str">
        <x:v>AMRO</x:v>
      </x:c>
      <x:c r="D220" s="28" t="n">
        <x:v>46138</x:v>
      </x:c>
      <x:c r="E220" s="30" t="n">
        <x:v>3904</x:v>
      </x:c>
      <x:c r="F220" s="30" t="n">
        <x:v>12</x:v>
      </x:c>
      <x:c r="G220" s="32" t="n">
        <x:v>0.0030737704918032786</x:v>
      </x:c>
    </x:row>
    <x:row r="221">
      <x:c r="A221" t="str">
        <x:v>Palau</x:v>
      </x:c>
      <x:c r="B221" t="str">
        <x:v>PW</x:v>
      </x:c>
      <x:c r="C221" t="str">
        <x:v>WPRO</x:v>
      </x:c>
      <x:c r="D221" s="28" t="n">
        <x:v>46138</x:v>
      </x:c>
      <x:c r="E221" s="30" t="n">
        <x:v>6372</x:v>
      </x:c>
      <x:c r="F221" s="30" t="n">
        <x:v>10</x:v>
      </x:c>
      <x:c r="G221" s="32" t="n">
        <x:v>0.001569365976145637</x:v>
      </x:c>
    </x:row>
    <x:row r="222">
      <x:c r="A222" t="str">
        <x:v>Wallis and Futuna</x:v>
      </x:c>
      <x:c r="B222" t="str">
        <x:v>WF</x:v>
      </x:c>
      <x:c r="C222" t="str">
        <x:v>WPRO</x:v>
      </x:c>
      <x:c r="D222" s="28" t="n">
        <x:v>46138</x:v>
      </x:c>
      <x:c r="E222" s="30" t="n">
        <x:v>3760</x:v>
      </x:c>
      <x:c r="F222" s="30" t="n">
        <x:v>9</x:v>
      </x:c>
      <x:c r="G222" s="32" t="n">
        <x:v>0.0023936170212765957</x:v>
      </x:c>
    </x:row>
    <x:row r="223">
      <x:c r="A223" t="str">
        <x:v>Montserrat</x:v>
      </x:c>
      <x:c r="B223" t="str">
        <x:v>MS</x:v>
      </x:c>
      <x:c r="C223" t="str">
        <x:v>AMRO</x:v>
      </x:c>
      <x:c r="D223" s="28" t="n">
        <x:v>46138</x:v>
      </x:c>
      <x:c r="E223" s="30" t="n">
        <x:v>1403</x:v>
      </x:c>
      <x:c r="F223" s="30" t="n">
        <x:v>8</x:v>
      </x:c>
      <x:c r="G223" s="32" t="n">
        <x:v>0.005702066999287242</x:v>
      </x:c>
    </x:row>
    <x:row r="224">
      <x:c r="A224" t="str">
        <x:v>Saint Barth�lemy</x:v>
      </x:c>
      <x:c r="B224" t="str">
        <x:v>BL</x:v>
      </x:c>
      <x:c r="C224" t="str"/>
      <x:c r="D224" s="28" t="n">
        <x:v>46138</x:v>
      </x:c>
      <x:c r="E224" s="30" t="n">
        <x:v>5507</x:v>
      </x:c>
      <x:c r="F224" s="30" t="n">
        <x:v>5</x:v>
      </x:c>
      <x:c r="G224" s="32" t="n">
        <x:v>0.0009079353550027238</x:v>
      </x:c>
    </x:row>
    <x:row r="225">
      <x:c r="A225" t="str">
        <x:v>Cook Islands</x:v>
      </x:c>
      <x:c r="B225" t="str">
        <x:v>CK</x:v>
      </x:c>
      <x:c r="C225" t="str">
        <x:v>WPRO</x:v>
      </x:c>
      <x:c r="D225" s="28" t="n">
        <x:v>46138</x:v>
      </x:c>
      <x:c r="E225" s="30" t="n">
        <x:v>7375</x:v>
      </x:c>
      <x:c r="F225" s="30" t="n">
        <x:v>2</x:v>
      </x:c>
      <x:c r="G225" s="32" t="n">
        <x:v>0.0002711864406779661</x:v>
      </x:c>
    </x:row>
    <x:row r="226">
      <x:c r="A226" t="str">
        <x:v>Saint Pierre and Miquelon</x:v>
      </x:c>
      <x:c r="B226" t="str">
        <x:v>PM</x:v>
      </x:c>
      <x:c r="C226" t="str"/>
      <x:c r="D226" s="28" t="n">
        <x:v>46138</x:v>
      </x:c>
      <x:c r="E226" s="30" t="n">
        <x:v>3426</x:v>
      </x:c>
      <x:c r="F226" s="30" t="n">
        <x:v>2</x:v>
      </x:c>
      <x:c r="G226" s="32" t="n">
        <x:v>0.0005837711617046118</x:v>
      </x:c>
    </x:row>
    <x:row r="227">
      <x:c r="A227" t="str">
        <x:v>Tuvalu</x:v>
      </x:c>
      <x:c r="B227" t="str">
        <x:v>TV</x:v>
      </x:c>
      <x:c r="C227" t="str">
        <x:v>WPRO</x:v>
      </x:c>
      <x:c r="D227" s="28" t="n">
        <x:v>46138</x:v>
      </x:c>
      <x:c r="E227" s="30" t="n">
        <x:v>2943</x:v>
      </x:c>
      <x:c r="F227" s="30" t="n">
        <x:v>1</x:v>
      </x:c>
      <x:c r="G227" s="32" t="n">
        <x:v>0.0003397893306150187</x:v>
      </x:c>
    </x:row>
    <x:row r="228">
      <x:c r="A228" t="str">
        <x:v>Nauru</x:v>
      </x:c>
      <x:c r="B228" t="str">
        <x:v>NR</x:v>
      </x:c>
      <x:c r="C228" t="str">
        <x:v>WPRO</x:v>
      </x:c>
      <x:c r="D228" s="28" t="n">
        <x:v>46138</x:v>
      </x:c>
      <x:c r="E228" s="30" t="n">
        <x:v>5393</x:v>
      </x:c>
      <x:c r="F228" s="30" t="n">
        <x:v>1</x:v>
      </x:c>
      <x:c r="G228" s="32" t="n">
        <x:v>0.00018542555164101615</x:v>
      </x:c>
    </x:row>
    <x:row r="229">
      <x:c r="A229" t="str">
        <x:v>Falkland Islands (Malvinas)</x:v>
      </x:c>
      <x:c r="B229" t="str">
        <x:v>FK</x:v>
      </x:c>
      <x:c r="C229" t="str"/>
      <x:c r="D229" s="28" t="n">
        <x:v>46138</x:v>
      </x:c>
      <x:c r="E229" s="30" t="n">
        <x:v>1923</x:v>
      </x:c>
      <x:c r="F229" s="30" t="n">
        <x:v>0</x:v>
      </x:c>
      <x:c r="G229" s="32" t="n">
        <x:v>0</x:v>
      </x:c>
    </x:row>
    <x:row r="230">
      <x:c r="A230" t="str">
        <x:v>Democratic People's Republic of Korea</x:v>
      </x:c>
      <x:c r="B230" t="str">
        <x:v>KP</x:v>
      </x:c>
      <x:c r="C230" t="str">
        <x:v>SEARO</x:v>
      </x:c>
      <x:c r="D230" s="28" t="n">
        <x:v>46138</x:v>
      </x:c>
      <x:c r="E230" s="30" t="n">
        <x:v>0</x:v>
      </x:c>
      <x:c r="F230" s="30" t="n">
        <x:v>0</x:v>
      </x:c>
      <x:c r="G230" s="32" t="n">
        <x:v>0</x:v>
      </x:c>
    </x:row>
    <x:row r="231">
      <x:c r="A231" t="str">
        <x:v>Saint Helena</x:v>
      </x:c>
      <x:c r="B231" t="str">
        <x:v>SH</x:v>
      </x:c>
      <x:c r="C231" t="str"/>
      <x:c r="D231" s="28" t="n">
        <x:v>46138</x:v>
      </x:c>
      <x:c r="E231" s="30" t="n">
        <x:v>2166</x:v>
      </x:c>
      <x:c r="F231" s="30" t="n">
        <x:v>0</x:v>
      </x:c>
      <x:c r="G231" s="32" t="n">
        <x:v>0</x:v>
      </x:c>
    </x:row>
    <x:row r="232">
      <x:c r="A232" t="str">
        <x:v>Turkmenistan</x:v>
      </x:c>
      <x:c r="B232" t="str">
        <x:v>TM</x:v>
      </x:c>
      <x:c r="C232" t="str">
        <x:v>EURO</x:v>
      </x:c>
      <x:c r="D232" s="28" t="n">
        <x:v>46138</x:v>
      </x:c>
      <x:c r="E232" s="30" t="n">
        <x:v>0</x:v>
      </x:c>
      <x:c r="F232" s="30" t="n">
        <x:v>0</x:v>
      </x:c>
      <x:c r="G232" s="32" t="n">
        <x:v>0</x:v>
      </x:c>
    </x:row>
    <x:row r="233">
      <x:c r="A233" t="str">
        <x:v>Niue</x:v>
      </x:c>
      <x:c r="B233" t="str">
        <x:v>NU</x:v>
      </x:c>
      <x:c r="C233" t="str">
        <x:v>WPRO</x:v>
      </x:c>
      <x:c r="D233" s="28" t="n">
        <x:v>46138</x:v>
      </x:c>
      <x:c r="E233" s="30" t="n">
        <x:v>1092</x:v>
      </x:c>
      <x:c r="F233" s="30" t="n">
        <x:v>0</x:v>
      </x:c>
      <x:c r="G233" s="32" t="n">
        <x:v>0</x:v>
      </x:c>
    </x:row>
    <x:row r="234">
      <x:c r="A234" t="str">
        <x:v>Pitcairn</x:v>
      </x:c>
      <x:c r="B234" t="str">
        <x:v>PN</x:v>
      </x:c>
      <x:c r="C234" t="str"/>
      <x:c r="D234" s="28" t="n">
        <x:v>46138</x:v>
      </x:c>
      <x:c r="E234" s="30" t="n">
        <x:v>4</x:v>
      </x:c>
      <x:c r="F234" s="30" t="n">
        <x:v>0</x:v>
      </x:c>
      <x:c r="G234" s="32" t="n">
        <x:v>0</x:v>
      </x:c>
    </x:row>
    <x:row r="235">
      <x:c r="A235" t="str">
        <x:v>Holy See</x:v>
      </x:c>
      <x:c r="B235" t="str">
        <x:v>VA</x:v>
      </x:c>
      <x:c r="C235" t="str"/>
      <x:c r="D235" s="28" t="n">
        <x:v>46138</x:v>
      </x:c>
      <x:c r="E235" s="30" t="n">
        <x:v>26</x:v>
      </x:c>
      <x:c r="F235" s="30" t="n">
        <x:v>0</x:v>
      </x:c>
      <x:c r="G235" s="32" t="n">
        <x:v>0</x:v>
      </x:c>
    </x:row>
    <x:row r="236">
      <x:c r="A236" t="str">
        <x:v>International conveyance (American Samoa)</x:v>
      </x:c>
      <x:c r="B236" t="str">
        <x:v>XXF</x:v>
      </x:c>
      <x:c r="C236" t="str">
        <x:v>OTHER</x:v>
      </x:c>
      <x:c r="D236" s="28" t="n">
        <x:v>46138</x:v>
      </x:c>
      <x:c r="E236" s="30" t="n">
        <x:v>4</x:v>
      </x:c>
      <x:c r="F236" s="30" t="n">
        <x:v>0</x:v>
      </x:c>
      <x:c r="G236" s="32" t="n">
        <x:v>0</x:v>
      </x:c>
    </x:row>
    <x:row r="237">
      <x:c r="A237" t="str">
        <x:v>International conveyance (Solomon Islands)</x:v>
      </x:c>
      <x:c r="B237" t="str">
        <x:v>XXG</x:v>
      </x:c>
      <x:c r="C237" t="str">
        <x:v>OTHER</x:v>
      </x:c>
      <x:c r="D237" s="28" t="n">
        <x:v>46138</x:v>
      </x:c>
      <x:c r="E237" s="30" t="n">
        <x:v>5</x:v>
      </x:c>
      <x:c r="F237" s="30" t="n">
        <x:v>0</x:v>
      </x:c>
      <x:c r="G237" s="32" t="n">
        <x:v>0</x:v>
      </x:c>
    </x:row>
    <x:row r="238">
      <x:c r="A238" t="str">
        <x:v>International conveyance (Vanuatu)</x:v>
      </x:c>
      <x:c r="B238" t="str">
        <x:v>XXH</x:v>
      </x:c>
      <x:c r="C238" t="str">
        <x:v>OTHER</x:v>
      </x:c>
      <x:c r="D238" s="28" t="n">
        <x:v>46138</x:v>
      </x:c>
      <x:c r="E238" s="30" t="n">
        <x:v>12</x:v>
      </x:c>
      <x:c r="F238" s="30" t="n">
        <x:v>0</x:v>
      </x:c>
      <x:c r="G238" s="32" t="n">
        <x:v>0</x:v>
      </x:c>
    </x:row>
    <x:row r="239">
      <x:c r="A239" t="str">
        <x:v>Tokelau</x:v>
      </x:c>
      <x:c r="B239" t="str">
        <x:v>TK</x:v>
      </x:c>
      <x:c r="C239" t="str">
        <x:v>WPRO</x:v>
      </x:c>
      <x:c r="D239" s="28" t="n">
        <x:v>46138</x:v>
      </x:c>
      <x:c r="E239" s="30" t="n">
        <x:v>80</x:v>
      </x:c>
      <x:c r="F239" s="30" t="n">
        <x:v>0</x:v>
      </x:c>
      <x:c r="G239" s="32" t="n">
        <x:v>0</x:v>
      </x:c>
    </x:row>
    <x:row r="240">
      <x:c r="A240" t="str">
        <x:v>International conveyance (Kiribati)</x:v>
      </x:c>
      <x:c r="B240" t="str">
        <x:v>XXI</x:v>
      </x:c>
      <x:c r="C240" t="str">
        <x:v>OTHER</x:v>
      </x:c>
      <x:c r="D240" s="28" t="n">
        <x:v>46138</x:v>
      </x:c>
      <x:c r="E240" s="30" t="n">
        <x:v>2</x:v>
      </x:c>
      <x:c r="F240" s="30" t="n">
        <x:v>0</x:v>
      </x:c>
      <x:c r="G240" s="32" t="n">
        <x:v>0</x:v>
      </x:c>
    </x:row>
    <x:row r="241">
      <x:c r="A241" t="str">
        <x:v>International commercial vessel</x:v>
      </x:c>
      <x:c r="B241" t="str">
        <x:v>XXL</x:v>
      </x:c>
      <x:c r="C241" t="str">
        <x:v>OTHER</x:v>
      </x:c>
      <x:c r="D241" s="28" t="n">
        <x:v>46138</x:v>
      </x:c>
      <x:c r="E241" s="30" t="n">
        <x:v>29</x:v>
      </x:c>
      <x:c r="F241" s="30" t="n">
        <x:v>0</x:v>
      </x:c>
      <x:c r="G241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3bdee57a7644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3" t="str">
        <x:v>WHO Region</x:v>
      </x:c>
      <x:c r="B1" s="23" t="str">
        <x:v>Countries / Locations</x:v>
      </x:c>
      <x:c r="C1" s="23" t="str">
        <x:v>Total Cases</x:v>
      </x:c>
      <x:c r="D1" s="23" t="str">
        <x:v>Total Deaths</x:v>
      </x:c>
      <x:c r="E1" s="23" t="str">
        <x:v>Case Fatality Rate</x:v>
      </x:c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78" t="str">
        <x:v>AMRO</x:v>
      </x:c>
      <x:c r="B2" s="178" t="n">
        <x:v>47</x:v>
      </x:c>
      <x:c r="C2" s="180" t="n">
        <x:v>193320821</x:v>
      </x:c>
      <x:c r="D2" s="180" t="n">
        <x:v>3070541</x:v>
      </x:c>
      <x:c r="E2" s="181" t="n">
        <x:v>0.015883136560857044</x:v>
      </x:c>
      <x:c r="F2" s="178"/>
      <x:c r="G2" s="178"/>
      <x:c r="H2" s="178"/>
      <x:c r="I2" s="178"/>
      <x:c r="J2" s="178"/>
      <x:c r="K2" s="178"/>
      <x:c r="L2" s="178"/>
      <x:c r="M2" s="178"/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78" t="str">
        <x:v>EURO</x:v>
      </x:c>
      <x:c r="B3" s="178" t="n">
        <x:v>55</x:v>
      </x:c>
      <x:c r="C3" s="180" t="n">
        <x:v>281542216</x:v>
      </x:c>
      <x:c r="D3" s="180" t="n">
        <x:v>2282540</x:v>
      </x:c>
      <x:c r="E3" s="181" t="n">
        <x:v>0.008107274398948398</x:v>
      </x:c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78" t="str">
        <x:v>SEARO</x:v>
      </x:c>
      <x:c r="B4" s="178" t="n">
        <x:v>11</x:v>
      </x:c>
      <x:c r="C4" s="180" t="n">
        <x:v>61959507</x:v>
      </x:c>
      <x:c r="D4" s="180" t="n">
        <x:v>809348</x:v>
      </x:c>
      <x:c r="E4" s="181" t="n">
        <x:v>0.01306253130774588</x:v>
      </x:c>
      <x:c r="F4" s="178"/>
      <x:c r="G4" s="178"/>
      <x:c r="H4" s="178"/>
      <x:c r="I4" s="178"/>
      <x:c r="J4" s="178"/>
      <x:c r="K4" s="178"/>
      <x:c r="L4" s="17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78" t="str">
        <x:v>WPRO</x:v>
      </x:c>
      <x:c r="B5" s="178" t="n">
        <x:v>34</x:v>
      </x:c>
      <x:c r="C5" s="180" t="n">
        <x:v>208610782</x:v>
      </x:c>
      <x:c r="D5" s="180" t="n">
        <x:v>421686</x:v>
      </x:c>
      <x:c r="E5" s="181" t="n">
        <x:v>0.002021400792217921</x:v>
      </x:c>
      <x:c r="F5" s="178"/>
      <x:c r="G5" s="178"/>
      <x:c r="H5" s="178"/>
      <x:c r="I5" s="178"/>
      <x:c r="J5" s="178"/>
      <x:c r="K5" s="178"/>
      <x:c r="L5" s="17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78" t="str">
        <x:v>EMRO</x:v>
      </x:c>
      <x:c r="B6" s="178" t="n">
        <x:v>22</x:v>
      </x:c>
      <x:c r="C6" s="180" t="n">
        <x:v>23417911</x:v>
      </x:c>
      <x:c r="D6" s="180" t="n">
        <x:v>351975</x:v>
      </x:c>
      <x:c r="E6" s="181" t="n">
        <x:v>0.015030162169460803</x:v>
      </x:c>
      <x:c r="F6" s="178"/>
      <x:c r="G6" s="178"/>
      <x:c r="H6" s="178"/>
      <x:c r="I6" s="178"/>
      <x:c r="J6" s="178"/>
      <x:c r="K6" s="178"/>
      <x:c r="L6" s="178"/>
      <x:c r="M6" s="178"/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78" t="str">
        <x:v>AFRO</x:v>
      </x:c>
      <x:c r="B7" s="178" t="n">
        <x:v>47</x:v>
      </x:c>
      <x:c r="C7" s="180" t="n">
        <x:v>9051407</x:v>
      </x:c>
      <x:c r="D7" s="180" t="n">
        <x:v>174424</x:v>
      </x:c>
      <x:c r="E7" s="181" t="n">
        <x:v>0.01927037420812035</x:v>
      </x:c>
      <x:c r="F7" s="178"/>
      <x:c r="G7" s="178"/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78" t="str"/>
      <x:c r="B8" s="178" t="n">
        <x:v>18</x:v>
      </x:c>
      <x:c r="C8" s="180" t="n">
        <x:v>1310210</x:v>
      </x:c>
      <x:c r="D8" s="180" t="n">
        <x:v>4273</x:v>
      </x:c>
      <x:c r="E8" s="181" t="n">
        <x:v>0.0032613092557681593</x:v>
      </x:c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78" t="str">
        <x:v>OTHER</x:v>
      </x:c>
      <x:c r="B9" s="178" t="n">
        <x:v>6</x:v>
      </x:c>
      <x:c r="C9" s="180" t="n">
        <x:v>764</x:v>
      </x:c>
      <x:c r="D9" s="180" t="n">
        <x:v>13</x:v>
      </x:c>
      <x:c r="E9" s="181" t="n">
        <x:v>0.017015706806282723</x:v>
      </x:c>
      <x:c r="F9" s="178"/>
      <x:c r="G9" s="178"/>
      <x:c r="H9" s="178"/>
      <x:c r="I9" s="178"/>
      <x:c r="J9" s="178"/>
      <x:c r="K9" s="178"/>
      <x:c r="L9" s="178"/>
      <x:c r="M9" s="178"/>
      <x:c r="N9" s="17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78"/>
      <x:c r="B10" s="178"/>
      <x:c r="C10" s="178"/>
      <x:c r="D10" s="178"/>
      <x:c r="E10" s="178"/>
      <x:c r="F10" s="178"/>
      <x:c r="G10" s="178"/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78"/>
      <x:c r="B11" s="178"/>
      <x:c r="C11" s="178"/>
      <x:c r="D11" s="178"/>
      <x:c r="E11" s="178"/>
      <x:c r="F11" s="178"/>
      <x:c r="G11" s="178"/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78"/>
      <x:c r="B12" s="178"/>
      <x:c r="C12" s="178"/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78"/>
      <x:c r="B13" s="178"/>
      <x:c r="C13" s="178"/>
      <x:c r="D13" s="178"/>
      <x:c r="E13" s="178"/>
      <x:c r="F13" s="178"/>
      <x:c r="G13" s="178"/>
      <x:c r="H13" s="178"/>
      <x:c r="I13" s="178"/>
      <x:c r="J13" s="178"/>
      <x:c r="K13" s="178"/>
      <x:c r="L13" s="178"/>
      <x:c r="M13" s="178"/>
      <x:c r="N13" s="178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78"/>
      <x:c r="B14" s="178"/>
      <x:c r="C14" s="178"/>
      <x:c r="D14" s="178"/>
      <x:c r="E14" s="178"/>
      <x:c r="F14" s="178"/>
      <x:c r="G14" s="178"/>
      <x:c r="H14" s="178"/>
      <x:c r="I14" s="178"/>
      <x:c r="J14" s="178"/>
      <x:c r="K14" s="178"/>
      <x:c r="L14" s="178"/>
      <x:c r="M14" s="178"/>
      <x:c r="N14" s="178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178"/>
      <x:c r="B15" s="178"/>
      <x:c r="C15" s="178"/>
      <x:c r="D15" s="178"/>
      <x:c r="E15" s="178"/>
      <x:c r="F15" s="178"/>
      <x:c r="G15" s="178"/>
      <x:c r="H15" s="178"/>
      <x:c r="I15" s="178"/>
      <x:c r="J15" s="178"/>
      <x:c r="K15" s="178"/>
      <x:c r="L15" s="178"/>
      <x:c r="M15" s="178"/>
      <x:c r="N15" s="17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78"/>
      <x:c r="B16" s="178"/>
      <x:c r="C16" s="178"/>
      <x:c r="D16" s="178"/>
      <x:c r="E16" s="178"/>
      <x:c r="F16" s="178"/>
      <x:c r="G16" s="178"/>
      <x:c r="H16" s="178"/>
      <x:c r="I16" s="178"/>
      <x:c r="J16" s="178"/>
      <x:c r="K16" s="178"/>
      <x:c r="L16" s="178"/>
      <x:c r="M16" s="178"/>
      <x:c r="N16" s="17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78"/>
      <x:c r="B17" s="178"/>
      <x:c r="C17" s="178"/>
      <x:c r="D17" s="178"/>
      <x:c r="E17" s="178"/>
      <x:c r="F17" s="178"/>
      <x:c r="G17" s="178"/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78"/>
      <x:c r="B18" s="178"/>
      <x:c r="C18" s="178"/>
      <x:c r="D18" s="178"/>
      <x:c r="E18" s="178"/>
      <x:c r="F18" s="178"/>
      <x:c r="G18" s="178"/>
      <x:c r="H18" s="178"/>
      <x:c r="I18" s="178"/>
      <x:c r="J18" s="178"/>
      <x:c r="K18" s="178"/>
      <x:c r="L18" s="178"/>
      <x:c r="M18" s="178"/>
      <x:c r="N18" s="17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78"/>
      <x:c r="B19" s="178"/>
      <x:c r="C19" s="178"/>
      <x:c r="D19" s="178"/>
      <x:c r="E19" s="178"/>
      <x:c r="F19" s="178"/>
      <x:c r="G19" s="178"/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78"/>
      <x:c r="B20" s="178"/>
      <x:c r="C20" s="178"/>
      <x:c r="D20" s="178"/>
      <x:c r="E20" s="178"/>
      <x:c r="F20" s="178"/>
      <x:c r="G20" s="178"/>
      <x:c r="H20" s="178"/>
      <x:c r="I20" s="178"/>
      <x:c r="J20" s="178"/>
      <x:c r="K20" s="178"/>
      <x:c r="L20" s="178"/>
      <x:c r="M20" s="178"/>
      <x:c r="N20" s="17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78"/>
      <x:c r="B21" s="178"/>
      <x:c r="C21" s="178"/>
      <x:c r="D21" s="178"/>
      <x:c r="E21" s="178"/>
      <x:c r="F21" s="178"/>
      <x:c r="G21" s="178"/>
      <x:c r="H21" s="178"/>
      <x:c r="I21" s="178"/>
      <x:c r="J21" s="178"/>
      <x:c r="K21" s="178"/>
      <x:c r="L21" s="178"/>
      <x:c r="M21" s="178"/>
      <x:c r="N21" s="17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78"/>
      <x:c r="B22" s="178"/>
      <x:c r="C22" s="178"/>
      <x:c r="D22" s="178"/>
      <x:c r="E22" s="178"/>
      <x:c r="F22" s="178"/>
      <x:c r="G22" s="178"/>
      <x:c r="H22" s="178"/>
      <x:c r="I22" s="178"/>
      <x:c r="J22" s="178"/>
      <x:c r="K22" s="178"/>
      <x:c r="L22" s="178"/>
      <x:c r="M22" s="178"/>
      <x:c r="N22" s="17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78"/>
      <x:c r="B23" s="178"/>
      <x:c r="C23" s="178"/>
      <x:c r="D23" s="178"/>
      <x:c r="E23" s="178"/>
      <x:c r="F23" s="178"/>
      <x:c r="G23" s="178"/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78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  <x:c r="M24" s="178"/>
      <x:c r="N24" s="17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78"/>
      <x:c r="B25" s="178"/>
      <x:c r="C25" s="178"/>
      <x:c r="D25" s="178"/>
      <x:c r="E25" s="178"/>
      <x:c r="F25" s="178"/>
      <x:c r="G25" s="178"/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78"/>
      <x:c r="B26" s="178"/>
      <x:c r="C26" s="178"/>
      <x:c r="D26" s="178"/>
      <x:c r="E26" s="178"/>
      <x:c r="F26" s="178"/>
      <x:c r="G26" s="178"/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78"/>
      <x:c r="B27" s="178"/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78"/>
      <x:c r="B28" s="178"/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78"/>
      <x:c r="B29" s="178"/>
      <x:c r="C29" s="178"/>
      <x:c r="D29" s="178"/>
      <x:c r="E29" s="178"/>
      <x:c r="F29" s="178"/>
      <x:c r="G29" s="178"/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178"/>
      <x:c r="B30" s="178"/>
      <x:c r="C30" s="178"/>
      <x:c r="D30" s="178"/>
      <x:c r="E30" s="178"/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78"/>
      <x:c r="B31" s="178"/>
      <x:c r="C31" s="178"/>
      <x:c r="D31" s="178"/>
      <x:c r="E31" s="178"/>
      <x:c r="F31" s="178"/>
      <x:c r="G31" s="178"/>
      <x:c r="H31" s="178"/>
      <x:c r="I31" s="178"/>
      <x:c r="J31" s="178"/>
      <x:c r="K31" s="178"/>
      <x:c r="L31" s="178"/>
      <x:c r="M31" s="178"/>
      <x:c r="N31" s="17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78"/>
      <x:c r="B32" s="178"/>
      <x:c r="C32" s="178"/>
      <x:c r="D32" s="178"/>
      <x:c r="E32" s="178"/>
      <x:c r="F32" s="178"/>
      <x:c r="G32" s="178"/>
      <x:c r="H32" s="178"/>
      <x:c r="I32" s="178"/>
      <x:c r="J32" s="178"/>
      <x:c r="K32" s="178"/>
      <x:c r="L32" s="178"/>
      <x:c r="M32" s="178"/>
      <x:c r="N32" s="17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78"/>
      <x:c r="B33" s="178"/>
      <x:c r="C33" s="178"/>
      <x:c r="D33" s="178"/>
      <x:c r="E33" s="178"/>
      <x:c r="F33" s="178"/>
      <x:c r="G33" s="178"/>
      <x:c r="H33" s="178"/>
      <x:c r="I33" s="178"/>
      <x:c r="J33" s="178"/>
      <x:c r="K33" s="178"/>
      <x:c r="L33" s="178"/>
      <x:c r="M33" s="178"/>
      <x:c r="N33" s="17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78"/>
      <x:c r="B34" s="178"/>
      <x:c r="C34" s="178"/>
      <x:c r="D34" s="178"/>
      <x:c r="E34" s="178"/>
      <x:c r="F34" s="178"/>
      <x:c r="G34" s="178"/>
      <x:c r="H34" s="178"/>
      <x:c r="I34" s="178"/>
      <x:c r="J34" s="178"/>
      <x:c r="K34" s="178"/>
      <x:c r="L34" s="178"/>
      <x:c r="M34" s="178"/>
      <x:c r="N34" s="17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78"/>
      <x:c r="B35" s="178"/>
      <x:c r="C35" s="178"/>
      <x:c r="D35" s="178"/>
      <x:c r="E35" s="178"/>
      <x:c r="F35" s="178"/>
      <x:c r="G35" s="178"/>
      <x:c r="H35" s="178"/>
      <x:c r="I35" s="178"/>
      <x:c r="J35" s="178"/>
      <x:c r="K35" s="178"/>
      <x:c r="L35" s="178"/>
      <x:c r="M35" s="178"/>
      <x:c r="N35" s="17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78"/>
      <x:c r="B36" s="178"/>
      <x:c r="C36" s="178"/>
      <x:c r="D36" s="178"/>
      <x:c r="E36" s="178"/>
      <x:c r="F36" s="178"/>
      <x:c r="G36" s="178"/>
      <x:c r="H36" s="178"/>
      <x:c r="I36" s="178"/>
      <x:c r="J36" s="178"/>
      <x:c r="K36" s="178"/>
      <x:c r="L36" s="178"/>
      <x:c r="M36" s="178"/>
      <x:c r="N36" s="17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78"/>
      <x:c r="B37" s="178"/>
      <x:c r="C37" s="178"/>
      <x:c r="D37" s="178"/>
      <x:c r="E37" s="178"/>
      <x:c r="F37" s="178"/>
      <x:c r="G37" s="178"/>
      <x:c r="H37" s="178"/>
      <x:c r="I37" s="178"/>
      <x:c r="J37" s="178"/>
      <x:c r="K37" s="178"/>
      <x:c r="L37" s="178"/>
      <x:c r="M37" s="178"/>
      <x:c r="N37" s="17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78"/>
      <x:c r="B38" s="178"/>
      <x:c r="C38" s="178"/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8"/>
      <x:c r="N38" s="17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78"/>
      <x:c r="B39" s="178"/>
      <x:c r="C39" s="178"/>
      <x:c r="D39" s="178"/>
      <x:c r="E39" s="178"/>
      <x:c r="F39" s="178"/>
      <x:c r="G39" s="178"/>
      <x:c r="H39" s="178"/>
      <x:c r="I39" s="178"/>
      <x:c r="J39" s="178"/>
      <x:c r="K39" s="178"/>
      <x:c r="L39" s="178"/>
      <x:c r="M39" s="178"/>
      <x:c r="N39" s="17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78"/>
      <x:c r="B40" s="178"/>
      <x:c r="C40" s="178"/>
      <x:c r="D40" s="178"/>
      <x:c r="E40" s="178"/>
      <x:c r="F40" s="178"/>
      <x:c r="G40" s="178"/>
      <x:c r="H40" s="178"/>
      <x:c r="I40" s="178"/>
      <x:c r="J40" s="178"/>
      <x:c r="K40" s="178"/>
      <x:c r="L40" s="178"/>
      <x:c r="M40" s="178"/>
      <x:c r="N40" s="17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78"/>
      <x:c r="B41" s="178"/>
      <x:c r="C41" s="178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8"/>
      <x:c r="N41" s="17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78"/>
      <x:c r="B42" s="178"/>
      <x:c r="C42" s="178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8"/>
      <x:c r="N42" s="17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78"/>
      <x:c r="B43" s="178"/>
      <x:c r="C43" s="178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8"/>
      <x:c r="N43" s="17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78"/>
      <x:c r="B44" s="178"/>
      <x:c r="C44" s="178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8"/>
      <x:c r="N44" s="17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8"/>
      <x:c r="N45" s="17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78"/>
      <x:c r="B46" s="178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8"/>
      <x:c r="N46" s="17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78"/>
      <x:c r="B47" s="178"/>
      <x:c r="C47" s="178"/>
      <x:c r="D47" s="178"/>
      <x:c r="E47" s="178"/>
      <x:c r="F47" s="178"/>
      <x:c r="G47" s="178"/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78"/>
      <x:c r="B48" s="178"/>
      <x:c r="C48" s="178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8"/>
      <x:c r="N48" s="17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78"/>
      <x:c r="B49" s="178"/>
      <x:c r="C49" s="178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8"/>
      <x:c r="N49" s="17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78"/>
      <x:c r="B50" s="178"/>
      <x:c r="C50" s="178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8"/>
      <x:c r="N50" s="178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78"/>
      <x:c r="B51" s="178"/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N52" s="178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8"/>
      <x:c r="N53" s="178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8"/>
      <x:c r="N54" s="178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</x:sheetData>
  <x:pageMargins left="0.7" right="0.7" top="0.75" bottom="0.75" header="0.3" footer="0.3"/>
  <x:tableParts count="1">
    <x:tablePart xmlns:r="http://schemas.openxmlformats.org/officeDocument/2006/relationships" r:id="R084038579ed34d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>
      <x:c r="A1" s="23" t="str">
        <x:v>Month</x:v>
      </x:c>
      <x:c r="B1" s="23" t="str">
        <x:v>New Cases</x:v>
      </x:c>
      <x:c r="C1" s="23" t="str">
        <x:v>New Deaths</x:v>
      </x:c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86" t="n">
        <x:v>43831</x:v>
      </x:c>
      <x:c r="B2" s="180" t="n">
        <x:v>2028</x:v>
      </x:c>
      <x:c r="C2" s="180" t="n">
        <x:v>62</x:v>
      </x:c>
      <x:c r="D2" s="178"/>
      <x:c r="E2" s="178"/>
      <x:c r="F2" s="178"/>
      <x:c r="G2" s="178"/>
      <x:c r="H2" s="178"/>
      <x:c r="I2" s="178"/>
      <x:c r="J2" s="178"/>
      <x:c r="K2" s="178"/>
      <x:c r="L2" s="178"/>
      <x:c r="M2" s="178"/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86" t="n">
        <x:v>43862</x:v>
      </x:c>
      <x:c r="B3" s="180" t="n">
        <x:v>76897</x:v>
      </x:c>
      <x:c r="C3" s="180" t="n">
        <x:v>2411</x:v>
      </x:c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86" t="n">
        <x:v>43891</x:v>
      </x:c>
      <x:c r="B4" s="180" t="n">
        <x:v>611739</x:v>
      </x:c>
      <x:c r="C4" s="180" t="n">
        <x:v>35807</x:v>
      </x:c>
      <x:c r="D4" s="178"/>
      <x:c r="E4" s="178"/>
      <x:c r="F4" s="178"/>
      <x:c r="G4" s="178"/>
      <x:c r="H4" s="178"/>
      <x:c r="I4" s="178"/>
      <x:c r="J4" s="178"/>
      <x:c r="K4" s="178"/>
      <x:c r="L4" s="17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86" t="n">
        <x:v>43922</x:v>
      </x:c>
      <x:c r="B5" s="180" t="n">
        <x:v>2037895</x:v>
      </x:c>
      <x:c r="C5" s="180" t="n">
        <x:v>178889</x:v>
      </x:c>
      <x:c r="D5" s="178"/>
      <x:c r="E5" s="178"/>
      <x:c r="F5" s="178"/>
      <x:c r="G5" s="178"/>
      <x:c r="H5" s="178"/>
      <x:c r="I5" s="178"/>
      <x:c r="J5" s="178"/>
      <x:c r="K5" s="178"/>
      <x:c r="L5" s="17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86" t="n">
        <x:v>43952</x:v>
      </x:c>
      <x:c r="B6" s="180" t="n">
        <x:v>3163480</x:v>
      </x:c>
      <x:c r="C6" s="180" t="n">
        <x:v>184334</x:v>
      </x:c>
      <x:c r="D6" s="178"/>
      <x:c r="E6" s="178"/>
      <x:c r="F6" s="178"/>
      <x:c r="G6" s="178"/>
      <x:c r="H6" s="178"/>
      <x:c r="I6" s="178"/>
      <x:c r="J6" s="178"/>
      <x:c r="K6" s="178"/>
      <x:c r="L6" s="178"/>
      <x:c r="M6" s="178"/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86" t="n">
        <x:v>43983</x:v>
      </x:c>
      <x:c r="B7" s="180" t="n">
        <x:v>3936841</x:v>
      </x:c>
      <x:c r="C7" s="180" t="n">
        <x:v>144336</x:v>
      </x:c>
      <x:c r="D7" s="178"/>
      <x:c r="E7" s="178"/>
      <x:c r="F7" s="178"/>
      <x:c r="G7" s="178"/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86" t="n">
        <x:v>44013</x:v>
      </x:c>
      <x:c r="B8" s="180" t="n">
        <x:v>6074723</x:v>
      </x:c>
      <x:c r="C8" s="180" t="n">
        <x:v>162506</x:v>
      </x:c>
      <x:c r="D8" s="178"/>
      <x:c r="E8" s="178"/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86" t="n">
        <x:v>44044</x:v>
      </x:c>
      <x:c r="B9" s="180" t="n">
        <x:v>9261926</x:v>
      </x:c>
      <x:c r="C9" s="180" t="n">
        <x:v>219376</x:v>
      </x:c>
      <x:c r="D9" s="178"/>
      <x:c r="E9" s="178"/>
      <x:c r="F9" s="178"/>
      <x:c r="G9" s="178"/>
      <x:c r="H9" s="178"/>
      <x:c r="I9" s="178"/>
      <x:c r="J9" s="178"/>
      <x:c r="K9" s="178"/>
      <x:c r="L9" s="178"/>
      <x:c r="M9" s="178"/>
      <x:c r="N9" s="17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86" t="n">
        <x:v>44075</x:v>
      </x:c>
      <x:c r="B10" s="180" t="n">
        <x:v>8141491</x:v>
      </x:c>
      <x:c r="C10" s="180" t="n">
        <x:v>160002</x:v>
      </x:c>
      <x:c r="D10" s="178"/>
      <x:c r="E10" s="178"/>
      <x:c r="F10" s="178"/>
      <x:c r="G10" s="178"/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86" t="n">
        <x:v>44105</x:v>
      </x:c>
      <x:c r="B11" s="180" t="n">
        <x:v>10187460</x:v>
      </x:c>
      <x:c r="C11" s="180" t="n">
        <x:v>156799</x:v>
      </x:c>
      <x:c r="D11" s="178"/>
      <x:c r="E11" s="178"/>
      <x:c r="F11" s="178"/>
      <x:c r="G11" s="178"/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86" t="n">
        <x:v>44136</x:v>
      </x:c>
      <x:c r="B12" s="180" t="n">
        <x:v>19566436</x:v>
      </x:c>
      <x:c r="C12" s="180" t="n">
        <x:v>323623</x:v>
      </x:c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86" t="n">
        <x:v>44166</x:v>
      </x:c>
      <x:c r="B13" s="180" t="n">
        <x:v>17255874</x:v>
      </x:c>
      <x:c r="C13" s="180" t="n">
        <x:v>329388</x:v>
      </x:c>
      <x:c r="D13" s="178"/>
      <x:c r="E13" s="178"/>
      <x:c r="F13" s="178"/>
      <x:c r="G13" s="178"/>
      <x:c r="H13" s="178"/>
      <x:c r="I13" s="178"/>
      <x:c r="J13" s="178"/>
      <x:c r="K13" s="178"/>
      <x:c r="L13" s="178"/>
      <x:c r="M13" s="178"/>
      <x:c r="N13" s="178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86" t="n">
        <x:v>44197</x:v>
      </x:c>
      <x:c r="B14" s="180" t="n">
        <x:v>22070633</x:v>
      </x:c>
      <x:c r="C14" s="180" t="n">
        <x:v>484000</x:v>
      </x:c>
      <x:c r="D14" s="178"/>
      <x:c r="E14" s="178"/>
      <x:c r="F14" s="178"/>
      <x:c r="G14" s="178"/>
      <x:c r="H14" s="178"/>
      <x:c r="I14" s="178"/>
      <x:c r="J14" s="178"/>
      <x:c r="K14" s="178"/>
      <x:c r="L14" s="178"/>
      <x:c r="M14" s="178"/>
      <x:c r="N14" s="178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186" t="n">
        <x:v>44228</x:v>
      </x:c>
      <x:c r="B15" s="180" t="n">
        <x:v>11022033</x:v>
      </x:c>
      <x:c r="C15" s="180" t="n">
        <x:v>303230</x:v>
      </x:c>
      <x:c r="D15" s="178"/>
      <x:c r="E15" s="178"/>
      <x:c r="F15" s="178"/>
      <x:c r="G15" s="178"/>
      <x:c r="H15" s="178"/>
      <x:c r="I15" s="178"/>
      <x:c r="J15" s="178"/>
      <x:c r="K15" s="178"/>
      <x:c r="L15" s="178"/>
      <x:c r="M15" s="178"/>
      <x:c r="N15" s="17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86" t="n">
        <x:v>44256</x:v>
      </x:c>
      <x:c r="B16" s="180" t="n">
        <x:v>12861645</x:v>
      </x:c>
      <x:c r="C16" s="180" t="n">
        <x:v>253439</x:v>
      </x:c>
      <x:c r="D16" s="178"/>
      <x:c r="E16" s="178"/>
      <x:c r="F16" s="178"/>
      <x:c r="G16" s="178"/>
      <x:c r="H16" s="178"/>
      <x:c r="I16" s="178"/>
      <x:c r="J16" s="178"/>
      <x:c r="K16" s="178"/>
      <x:c r="L16" s="178"/>
      <x:c r="M16" s="178"/>
      <x:c r="N16" s="17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86" t="n">
        <x:v>44287</x:v>
      </x:c>
      <x:c r="B17" s="180" t="n">
        <x:v>19601774</x:v>
      </x:c>
      <x:c r="C17" s="180" t="n">
        <x:v>333155</x:v>
      </x:c>
      <x:c r="D17" s="178"/>
      <x:c r="E17" s="178"/>
      <x:c r="F17" s="178"/>
      <x:c r="G17" s="178"/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86" t="n">
        <x:v>44317</x:v>
      </x:c>
      <x:c r="B18" s="180" t="n">
        <x:v>23733983</x:v>
      </x:c>
      <x:c r="C18" s="180" t="n">
        <x:v>440629</x:v>
      </x:c>
      <x:c r="D18" s="178"/>
      <x:c r="E18" s="178"/>
      <x:c r="F18" s="178"/>
      <x:c r="G18" s="178"/>
      <x:c r="H18" s="178"/>
      <x:c r="I18" s="178"/>
      <x:c r="J18" s="178"/>
      <x:c r="K18" s="178"/>
      <x:c r="L18" s="178"/>
      <x:c r="M18" s="178"/>
      <x:c r="N18" s="17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86" t="n">
        <x:v>44348</x:v>
      </x:c>
      <x:c r="B19" s="180" t="n">
        <x:v>10822935</x:v>
      </x:c>
      <x:c r="C19" s="180" t="n">
        <x:v>258619</x:v>
      </x:c>
      <x:c r="D19" s="178"/>
      <x:c r="E19" s="178"/>
      <x:c r="F19" s="178"/>
      <x:c r="G19" s="178"/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86" t="n">
        <x:v>44378</x:v>
      </x:c>
      <x:c r="B20" s="180" t="n">
        <x:v>13410750</x:v>
      </x:c>
      <x:c r="C20" s="180" t="n">
        <x:v>234213</x:v>
      </x:c>
      <x:c r="D20" s="178"/>
      <x:c r="E20" s="178"/>
      <x:c r="F20" s="178"/>
      <x:c r="G20" s="178"/>
      <x:c r="H20" s="178"/>
      <x:c r="I20" s="178"/>
      <x:c r="J20" s="178"/>
      <x:c r="K20" s="178"/>
      <x:c r="L20" s="178"/>
      <x:c r="M20" s="178"/>
      <x:c r="N20" s="17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86" t="n">
        <x:v>44409</x:v>
      </x:c>
      <x:c r="B21" s="180" t="n">
        <x:v>22253836</x:v>
      </x:c>
      <x:c r="C21" s="180" t="n">
        <x:v>345972</x:v>
      </x:c>
      <x:c r="D21" s="178"/>
      <x:c r="E21" s="178"/>
      <x:c r="F21" s="178"/>
      <x:c r="G21" s="178"/>
      <x:c r="H21" s="178"/>
      <x:c r="I21" s="178"/>
      <x:c r="J21" s="178"/>
      <x:c r="K21" s="178"/>
      <x:c r="L21" s="178"/>
      <x:c r="M21" s="178"/>
      <x:c r="N21" s="17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86" t="n">
        <x:v>44440</x:v>
      </x:c>
      <x:c r="B22" s="180" t="n">
        <x:v>15484337</x:v>
      </x:c>
      <x:c r="C22" s="180" t="n">
        <x:v>246781</x:v>
      </x:c>
      <x:c r="D22" s="178"/>
      <x:c r="E22" s="178"/>
      <x:c r="F22" s="178"/>
      <x:c r="G22" s="178"/>
      <x:c r="H22" s="178"/>
      <x:c r="I22" s="178"/>
      <x:c r="J22" s="178"/>
      <x:c r="K22" s="178"/>
      <x:c r="L22" s="178"/>
      <x:c r="M22" s="178"/>
      <x:c r="N22" s="17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86" t="n">
        <x:v>44470</x:v>
      </x:c>
      <x:c r="B23" s="180" t="n">
        <x:v>15086099</x:v>
      </x:c>
      <x:c r="C23" s="180" t="n">
        <x:v>247084</x:v>
      </x:c>
      <x:c r="D23" s="178"/>
      <x:c r="E23" s="178"/>
      <x:c r="F23" s="178"/>
      <x:c r="G23" s="178"/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86" t="n">
        <x:v>44501</x:v>
      </x:c>
      <x:c r="B24" s="180" t="n">
        <x:v>14569045</x:v>
      </x:c>
      <x:c r="C24" s="180" t="n">
        <x:v>204631</x:v>
      </x:c>
      <x:c r="D24" s="178"/>
      <x:c r="E24" s="178"/>
      <x:c r="F24" s="178"/>
      <x:c r="G24" s="178"/>
      <x:c r="H24" s="178"/>
      <x:c r="I24" s="178"/>
      <x:c r="J24" s="178"/>
      <x:c r="K24" s="178"/>
      <x:c r="L24" s="178"/>
      <x:c r="M24" s="178"/>
      <x:c r="N24" s="17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86" t="n">
        <x:v>44531</x:v>
      </x:c>
      <x:c r="B25" s="180" t="n">
        <x:v>19380554</x:v>
      </x:c>
      <x:c r="C25" s="180" t="n">
        <x:v>197605</x:v>
      </x:c>
      <x:c r="D25" s="178"/>
      <x:c r="E25" s="178"/>
      <x:c r="F25" s="178"/>
      <x:c r="G25" s="178"/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86" t="n">
        <x:v>44562</x:v>
      </x:c>
      <x:c r="B26" s="180" t="n">
        <x:v>94694159</x:v>
      </x:c>
      <x:c r="C26" s="180" t="n">
        <x:v>268246</x:v>
      </x:c>
      <x:c r="D26" s="178"/>
      <x:c r="E26" s="178"/>
      <x:c r="F26" s="178"/>
      <x:c r="G26" s="178"/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86" t="n">
        <x:v>44593</x:v>
      </x:c>
      <x:c r="B27" s="180" t="n">
        <x:v>59761654</x:v>
      </x:c>
      <x:c r="C27" s="180" t="n">
        <x:v>281424</x:v>
      </x:c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86" t="n">
        <x:v>44621</x:v>
      </x:c>
      <x:c r="B28" s="180" t="n">
        <x:v>46082387</x:v>
      </x:c>
      <x:c r="C28" s="180" t="n">
        <x:v>175992</x:v>
      </x:c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86" t="n">
        <x:v>44652</x:v>
      </x:c>
      <x:c r="B29" s="180" t="n">
        <x:v>26970421</x:v>
      </x:c>
      <x:c r="C29" s="180" t="n">
        <x:v>85772</x:v>
      </x:c>
      <x:c r="D29" s="178"/>
      <x:c r="E29" s="178"/>
      <x:c r="F29" s="178"/>
      <x:c r="G29" s="178"/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186" t="n">
        <x:v>44682</x:v>
      </x:c>
      <x:c r="B30" s="180" t="n">
        <x:v>18751417</x:v>
      </x:c>
      <x:c r="C30" s="180" t="n">
        <x:v>61087</x:v>
      </x:c>
      <x:c r="D30" s="178"/>
      <x:c r="E30" s="178"/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86" t="n">
        <x:v>44713</x:v>
      </x:c>
      <x:c r="B31" s="180" t="n">
        <x:v>15145267</x:v>
      </x:c>
      <x:c r="C31" s="180" t="n">
        <x:v>37894</x:v>
      </x:c>
      <x:c r="D31" s="178"/>
      <x:c r="E31" s="178"/>
      <x:c r="F31" s="178"/>
      <x:c r="G31" s="178"/>
      <x:c r="H31" s="178"/>
      <x:c r="I31" s="178"/>
      <x:c r="J31" s="178"/>
      <x:c r="K31" s="178"/>
      <x:c r="L31" s="178"/>
      <x:c r="M31" s="178"/>
      <x:c r="N31" s="17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86" t="n">
        <x:v>44743</x:v>
      </x:c>
      <x:c r="B32" s="180" t="n">
        <x:v>32981058</x:v>
      </x:c>
      <x:c r="C32" s="180" t="n">
        <x:v>72771</x:v>
      </x:c>
      <x:c r="D32" s="178"/>
      <x:c r="E32" s="178"/>
      <x:c r="F32" s="178"/>
      <x:c r="G32" s="178"/>
      <x:c r="H32" s="178"/>
      <x:c r="I32" s="178"/>
      <x:c r="J32" s="178"/>
      <x:c r="K32" s="178"/>
      <x:c r="L32" s="178"/>
      <x:c r="M32" s="178"/>
      <x:c r="N32" s="17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86" t="n">
        <x:v>44774</x:v>
      </x:c>
      <x:c r="B33" s="180" t="n">
        <x:v>22850430</x:v>
      </x:c>
      <x:c r="C33" s="180" t="n">
        <x:v>65628</x:v>
      </x:c>
      <x:c r="D33" s="178"/>
      <x:c r="E33" s="178"/>
      <x:c r="F33" s="178"/>
      <x:c r="G33" s="178"/>
      <x:c r="H33" s="178"/>
      <x:c r="I33" s="178"/>
      <x:c r="J33" s="178"/>
      <x:c r="K33" s="178"/>
      <x:c r="L33" s="178"/>
      <x:c r="M33" s="178"/>
      <x:c r="N33" s="17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86" t="n">
        <x:v>44805</x:v>
      </x:c>
      <x:c r="B34" s="180" t="n">
        <x:v>14173487</x:v>
      </x:c>
      <x:c r="C34" s="180" t="n">
        <x:v>46160</x:v>
      </x:c>
      <x:c r="D34" s="178"/>
      <x:c r="E34" s="178"/>
      <x:c r="F34" s="178"/>
      <x:c r="G34" s="178"/>
      <x:c r="H34" s="178"/>
      <x:c r="I34" s="178"/>
      <x:c r="J34" s="178"/>
      <x:c r="K34" s="178"/>
      <x:c r="L34" s="178"/>
      <x:c r="M34" s="178"/>
      <x:c r="N34" s="17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86" t="n">
        <x:v>44835</x:v>
      </x:c>
      <x:c r="B35" s="180" t="n">
        <x:v>15057500</x:v>
      </x:c>
      <x:c r="C35" s="180" t="n">
        <x:v>55618</x:v>
      </x:c>
      <x:c r="D35" s="178"/>
      <x:c r="E35" s="178"/>
      <x:c r="F35" s="178"/>
      <x:c r="G35" s="178"/>
      <x:c r="H35" s="178"/>
      <x:c r="I35" s="178"/>
      <x:c r="J35" s="178"/>
      <x:c r="K35" s="178"/>
      <x:c r="L35" s="178"/>
      <x:c r="M35" s="178"/>
      <x:c r="N35" s="17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86" t="n">
        <x:v>44866</x:v>
      </x:c>
      <x:c r="B36" s="180" t="n">
        <x:v>10483494</x:v>
      </x:c>
      <x:c r="C36" s="180" t="n">
        <x:v>40252</x:v>
      </x:c>
      <x:c r="D36" s="178"/>
      <x:c r="E36" s="178"/>
      <x:c r="F36" s="178"/>
      <x:c r="G36" s="178"/>
      <x:c r="H36" s="178"/>
      <x:c r="I36" s="178"/>
      <x:c r="J36" s="178"/>
      <x:c r="K36" s="178"/>
      <x:c r="L36" s="178"/>
      <x:c r="M36" s="178"/>
      <x:c r="N36" s="17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86" t="n">
        <x:v>44896</x:v>
      </x:c>
      <x:c r="B37" s="180" t="n">
        <x:v>67065915</x:v>
      </x:c>
      <x:c r="C37" s="180" t="n">
        <x:v>57961</x:v>
      </x:c>
      <x:c r="D37" s="178"/>
      <x:c r="E37" s="178"/>
      <x:c r="F37" s="178"/>
      <x:c r="G37" s="178"/>
      <x:c r="H37" s="178"/>
      <x:c r="I37" s="178"/>
      <x:c r="J37" s="178"/>
      <x:c r="K37" s="178"/>
      <x:c r="L37" s="178"/>
      <x:c r="M37" s="178"/>
      <x:c r="N37" s="17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86" t="n">
        <x:v>44927</x:v>
      </x:c>
      <x:c r="B38" s="180" t="n">
        <x:v>47674052</x:v>
      </x:c>
      <x:c r="C38" s="180" t="n">
        <x:v>85959</x:v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8"/>
      <x:c r="N38" s="17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86" t="n">
        <x:v>44958</x:v>
      </x:c>
      <x:c r="B39" s="180" t="n">
        <x:v>4851694</x:v>
      </x:c>
      <x:c r="C39" s="180" t="n">
        <x:v>96106</x:v>
      </x:c>
      <x:c r="D39" s="178"/>
      <x:c r="E39" s="178"/>
      <x:c r="F39" s="178"/>
      <x:c r="G39" s="178"/>
      <x:c r="H39" s="178"/>
      <x:c r="I39" s="178"/>
      <x:c r="J39" s="178"/>
      <x:c r="K39" s="178"/>
      <x:c r="L39" s="178"/>
      <x:c r="M39" s="178"/>
      <x:c r="N39" s="17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86" t="n">
        <x:v>44986</x:v>
      </x:c>
      <x:c r="B40" s="180" t="n">
        <x:v>3635718</x:v>
      </x:c>
      <x:c r="C40" s="180" t="n">
        <x:v>26682</x:v>
      </x:c>
      <x:c r="D40" s="178"/>
      <x:c r="E40" s="178"/>
      <x:c r="F40" s="178"/>
      <x:c r="G40" s="178"/>
      <x:c r="H40" s="178"/>
      <x:c r="I40" s="178"/>
      <x:c r="J40" s="178"/>
      <x:c r="K40" s="178"/>
      <x:c r="L40" s="178"/>
      <x:c r="M40" s="178"/>
      <x:c r="N40" s="17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86" t="n">
        <x:v>45017</x:v>
      </x:c>
      <x:c r="B41" s="180" t="n">
        <x:v>3617660</x:v>
      </x:c>
      <x:c r="C41" s="180" t="n">
        <x:v>23409</x:v>
      </x:c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8"/>
      <x:c r="N41" s="17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86" t="n">
        <x:v>45047</x:v>
      </x:c>
      <x:c r="B42" s="180" t="n">
        <x:v>1895281</x:v>
      </x:c>
      <x:c r="C42" s="180" t="n">
        <x:v>15373</x:v>
      </x:c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8"/>
      <x:c r="N42" s="17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86" t="n">
        <x:v>45078</x:v>
      </x:c>
      <x:c r="B43" s="180" t="n">
        <x:v>918508</x:v>
      </x:c>
      <x:c r="C43" s="180" t="n">
        <x:v>8226</x:v>
      </x:c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8"/>
      <x:c r="N43" s="17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86" t="n">
        <x:v>45108</x:v>
      </x:c>
      <x:c r="B44" s="180" t="n">
        <x:v>1127474</x:v>
      </x:c>
      <x:c r="C44" s="180" t="n">
        <x:v>5187</x:v>
      </x:c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8"/>
      <x:c r="N44" s="17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86" t="n">
        <x:v>45139</x:v>
      </x:c>
      <x:c r="B45" s="180" t="n">
        <x:v>1471067</x:v>
      </x:c>
      <x:c r="C45" s="180" t="n">
        <x:v>6596</x:v>
      </x:c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8"/>
      <x:c r="N45" s="17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86" t="n">
        <x:v>45170</x:v>
      </x:c>
      <x:c r="B46" s="180" t="n">
        <x:v>830746</x:v>
      </x:c>
      <x:c r="C46" s="180" t="n">
        <x:v>8829</x:v>
      </x:c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8"/>
      <x:c r="N46" s="17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86" t="n">
        <x:v>45200</x:v>
      </x:c>
      <x:c r="B47" s="180" t="n">
        <x:v>758734</x:v>
      </x:c>
      <x:c r="C47" s="180" t="n">
        <x:v>13992</x:v>
      </x:c>
      <x:c r="D47" s="178"/>
      <x:c r="E47" s="178"/>
      <x:c r="F47" s="178"/>
      <x:c r="G47" s="178"/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86" t="n">
        <x:v>45231</x:v>
      </x:c>
      <x:c r="B48" s="180" t="n">
        <x:v>761285</x:v>
      </x:c>
      <x:c r="C48" s="180" t="n">
        <x:v>10557</x:v>
      </x:c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8"/>
      <x:c r="N48" s="17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86" t="n">
        <x:v>45261</x:v>
      </x:c>
      <x:c r="B49" s="180" t="n">
        <x:v>1624618</x:v>
      </x:c>
      <x:c r="C49" s="180" t="n">
        <x:v>17653</x:v>
      </x:c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8"/>
      <x:c r="N49" s="17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86" t="n">
        <x:v>45292</x:v>
      </x:c>
      <x:c r="B50" s="180" t="n">
        <x:v>645238</x:v>
      </x:c>
      <x:c r="C50" s="180" t="n">
        <x:v>14874</x:v>
      </x:c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8"/>
      <x:c r="N50" s="178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86" t="n">
        <x:v>45323</x:v>
      </x:c>
      <x:c r="B51" s="180" t="n">
        <x:v>345190</x:v>
      </x:c>
      <x:c r="C51" s="180" t="n">
        <x:v>8372</x:v>
      </x:c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86" t="n">
        <x:v>45352</x:v>
      </x:c>
      <x:c r="B52" s="180" t="n">
        <x:v>355899</x:v>
      </x:c>
      <x:c r="C52" s="180" t="n">
        <x:v>6787</x:v>
      </x:c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N52" s="178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86" t="n">
        <x:v>45383</x:v>
      </x:c>
      <x:c r="B53" s="180" t="n">
        <x:v>147593</x:v>
      </x:c>
      <x:c r="C53" s="180" t="n">
        <x:v>3116</x:v>
      </x:c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8"/>
      <x:c r="N53" s="178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86" t="n">
        <x:v>45413</x:v>
      </x:c>
      <x:c r="B54" s="180" t="n">
        <x:v>137337</x:v>
      </x:c>
      <x:c r="C54" s="180" t="n">
        <x:v>2176</x:v>
      </x:c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8"/>
      <x:c r="N54" s="178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86" t="n">
        <x:v>45444</x:v>
      </x:c>
      <x:c r="B55" s="180" t="n">
        <x:v>198917</x:v>
      </x:c>
      <x:c r="C55" s="180" t="n">
        <x:v>3012</x:v>
      </x:c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86" t="n">
        <x:v>45474</x:v>
      </x:c>
      <x:c r="B56" s="180" t="n">
        <x:v>218595</x:v>
      </x:c>
      <x:c r="C56" s="180" t="n">
        <x:v>4016</x:v>
      </x:c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86" t="n">
        <x:v>45505</x:v>
      </x:c>
      <x:c r="B57" s="180" t="n">
        <x:v>267845</x:v>
      </x:c>
      <x:c r="C57" s="180" t="n">
        <x:v>5856</x:v>
      </x:c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86" t="n">
        <x:v>45536</x:v>
      </x:c>
      <x:c r="B58" s="180" t="n">
        <x:v>445098</x:v>
      </x:c>
      <x:c r="C58" s="180" t="n">
        <x:v>7681</x:v>
      </x:c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86" t="n">
        <x:v>45566</x:v>
      </x:c>
      <x:c r="B59" s="180" t="n">
        <x:v>309698</x:v>
      </x:c>
      <x:c r="C59" s="180" t="n">
        <x:v>4675</x:v>
      </x:c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86" t="n">
        <x:v>45597</x:v>
      </x:c>
      <x:c r="B60" s="180" t="n">
        <x:v>196531</x:v>
      </x:c>
      <x:c r="C60" s="180" t="n">
        <x:v>3332</x:v>
      </x:c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86" t="n">
        <x:v>45627</x:v>
      </x:c>
      <x:c r="B61" s="180" t="n">
        <x:v>248668</x:v>
      </x:c>
      <x:c r="C61" s="180" t="n">
        <x:v>3962</x:v>
      </x:c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86" t="n">
        <x:v>45658</x:v>
      </x:c>
      <x:c r="B62" s="180" t="n">
        <x:v>173402</x:v>
      </x:c>
      <x:c r="C62" s="180" t="n">
        <x:v>5119</x:v>
      </x:c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86" t="n">
        <x:v>45689</x:v>
      </x:c>
      <x:c r="B63" s="180" t="n">
        <x:v>151120</x:v>
      </x:c>
      <x:c r="C63" s="180" t="n">
        <x:v>3902</x:v>
      </x:c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86" t="n">
        <x:v>45717</x:v>
      </x:c>
      <x:c r="B64" s="180" t="n">
        <x:v>94691</x:v>
      </x:c>
      <x:c r="C64" s="180" t="n">
        <x:v>3297</x:v>
      </x:c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86" t="n">
        <x:v>45748</x:v>
      </x:c>
      <x:c r="B65" s="180" t="n">
        <x:v>45562</x:v>
      </x:c>
      <x:c r="C65" s="180" t="n">
        <x:v>1757</x:v>
      </x:c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86" t="n">
        <x:v>45778</x:v>
      </x:c>
      <x:c r="B66" s="180" t="n">
        <x:v>238751</x:v>
      </x:c>
      <x:c r="C66" s="180" t="n">
        <x:v>1237</x:v>
      </x:c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86" t="n">
        <x:v>45809</x:v>
      </x:c>
      <x:c r="B67" s="180" t="n">
        <x:v>372995</x:v>
      </x:c>
      <x:c r="C67" s="180" t="n">
        <x:v>1521</x:v>
      </x:c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86" t="n">
        <x:v>45839</x:v>
      </x:c>
      <x:c r="B68" s="180" t="n">
        <x:v>81408</x:v>
      </x:c>
      <x:c r="C68" s="180" t="n">
        <x:v>1060</x:v>
      </x:c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86" t="n">
        <x:v>45870</x:v>
      </x:c>
      <x:c r="B69" s="180" t="n">
        <x:v>114214</x:v>
      </x:c>
      <x:c r="C69" s="180" t="n">
        <x:v>1916</x:v>
      </x:c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86" t="n">
        <x:v>45901</x:v>
      </x:c>
      <x:c r="B70" s="180" t="n">
        <x:v>157271</x:v>
      </x:c>
      <x:c r="C70" s="180" t="n">
        <x:v>2295</x:v>
      </x:c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86" t="n">
        <x:v>45931</x:v>
      </x:c>
      <x:c r="B71" s="180" t="n">
        <x:v>144451</x:v>
      </x:c>
      <x:c r="C71" s="180" t="n">
        <x:v>1754</x:v>
      </x:c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86" t="n">
        <x:v>45962</x:v>
      </x:c>
      <x:c r="B72" s="180" t="n">
        <x:v>103836</x:v>
      </x:c>
      <x:c r="C72" s="180" t="n">
        <x:v>1456</x:v>
      </x:c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86" t="n">
        <x:v>45992</x:v>
      </x:c>
      <x:c r="B73" s="180" t="n">
        <x:v>59241</x:v>
      </x:c>
      <x:c r="C73" s="180" t="n">
        <x:v>1332</x:v>
      </x:c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86" t="n">
        <x:v>46023</x:v>
      </x:c>
      <x:c r="B74" s="180" t="n">
        <x:v>48124</x:v>
      </x:c>
      <x:c r="C74" s="180" t="n">
        <x:v>2179</x:v>
      </x:c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86" t="n">
        <x:v>46054</x:v>
      </x:c>
      <x:c r="B75" s="180" t="n">
        <x:v>53248</x:v>
      </x:c>
      <x:c r="C75" s="180" t="n">
        <x:v>1793</x:v>
      </x:c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86" t="n">
        <x:v>46082</x:v>
      </x:c>
      <x:c r="B76" s="180" t="n">
        <x:v>46211</x:v>
      </x:c>
      <x:c r="C76" s="180" t="n">
        <x:v>1472</x:v>
      </x:c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86" t="n">
        <x:v>46113</x:v>
      </x:c>
      <x:c r="B77" s="180" t="n">
        <x:v>14044</x:v>
      </x:c>
      <x:c r="C77" s="180" t="n">
        <x:v>586</x:v>
      </x:c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</x:sheetData>
  <x:pageMargins left="0.7" right="0.7" top="0.75" bottom="0.75" header="0.3" footer="0.3"/>
  <x:tableParts count="1">
    <x:tablePart xmlns:r="http://schemas.openxmlformats.org/officeDocument/2006/relationships" r:id="R94af1b8e01ca44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</x:cols>
  <x:sheetData>
    <x:row r="1">
      <x:c r="A1" s="23" t="str">
        <x:v>Month</x:v>
      </x:c>
      <x:c r="B1" s="23" t="str">
        <x:v>New Cases</x:v>
      </x:c>
      <x:c r="C1" s="23" t="str">
        <x:v>New Deaths</x:v>
      </x:c>
      <x:c r="D1" s="23" t="str">
        <x:v>Cumulative Cases</x:v>
      </x:c>
      <x:c r="E1" s="23" t="str">
        <x:v>Cumulative Deaths</x:v>
      </x:c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86" t="n">
        <x:v>43831</x:v>
      </x:c>
      <x:c r="B2" s="180" t="n">
        <x:v>0</x:v>
      </x:c>
      <x:c r="C2" s="180" t="n">
        <x:v>0</x:v>
      </x:c>
      <x:c r="D2" s="180" t="n">
        <x:v>0</x:v>
      </x:c>
      <x:c r="E2" s="180" t="n">
        <x:v>0</x:v>
      </x:c>
      <x:c r="F2" s="178"/>
      <x:c r="G2" s="178"/>
      <x:c r="H2" s="178"/>
      <x:c r="I2" s="178"/>
      <x:c r="J2" s="178"/>
      <x:c r="K2" s="178"/>
      <x:c r="L2" s="178"/>
      <x:c r="M2" s="178"/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86" t="n">
        <x:v>43862</x:v>
      </x:c>
      <x:c r="B3" s="180" t="n">
        <x:v>0</x:v>
      </x:c>
      <x:c r="C3" s="180" t="n">
        <x:v>0</x:v>
      </x:c>
      <x:c r="D3" s="180" t="n">
        <x:v>0</x:v>
      </x:c>
      <x:c r="E3" s="180" t="n">
        <x:v>0</x:v>
      </x:c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86" t="n">
        <x:v>43891</x:v>
      </x:c>
      <x:c r="B4" s="180" t="n">
        <x:v>7</x:v>
      </x:c>
      <x:c r="C4" s="180" t="n">
        <x:v>6</x:v>
      </x:c>
      <x:c r="D4" s="180" t="n">
        <x:v>7</x:v>
      </x:c>
      <x:c r="E4" s="180" t="n">
        <x:v>6</x:v>
      </x:c>
      <x:c r="F4" s="178"/>
      <x:c r="G4" s="178"/>
      <x:c r="H4" s="178"/>
      <x:c r="I4" s="178"/>
      <x:c r="J4" s="178"/>
      <x:c r="K4" s="178"/>
      <x:c r="L4" s="17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86" t="n">
        <x:v>43922</x:v>
      </x:c>
      <x:c r="B5" s="180" t="n">
        <x:v>25</x:v>
      </x:c>
      <x:c r="C5" s="180" t="n">
        <x:v>2</x:v>
      </x:c>
      <x:c r="D5" s="180" t="n">
        <x:v>32</x:v>
      </x:c>
      <x:c r="E5" s="180" t="n">
        <x:v>8</x:v>
      </x:c>
      <x:c r="F5" s="178"/>
      <x:c r="G5" s="178"/>
      <x:c r="H5" s="178"/>
      <x:c r="I5" s="178"/>
      <x:c r="J5" s="178"/>
      <x:c r="K5" s="178"/>
      <x:c r="L5" s="17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86" t="n">
        <x:v>43952</x:v>
      </x:c>
      <x:c r="B6" s="180" t="n">
        <x:v>141</x:v>
      </x:c>
      <x:c r="C6" s="180" t="n">
        <x:v>0</x:v>
      </x:c>
      <x:c r="D6" s="180" t="n">
        <x:v>173</x:v>
      </x:c>
      <x:c r="E6" s="180" t="n">
        <x:v>8</x:v>
      </x:c>
      <x:c r="F6" s="178"/>
      <x:c r="G6" s="178"/>
      <x:c r="H6" s="178"/>
      <x:c r="I6" s="178"/>
      <x:c r="J6" s="178"/>
      <x:c r="K6" s="178"/>
      <x:c r="L6" s="178"/>
      <x:c r="M6" s="178"/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86" t="n">
        <x:v>43983</x:v>
      </x:c>
      <x:c r="B7" s="180" t="n">
        <x:v>394</x:v>
      </x:c>
      <x:c r="C7" s="180" t="n">
        <x:v>2</x:v>
      </x:c>
      <x:c r="D7" s="180" t="n">
        <x:v>567</x:v>
      </x:c>
      <x:c r="E7" s="180" t="n">
        <x:v>10</x:v>
      </x:c>
      <x:c r="F7" s="178"/>
      <x:c r="G7" s="178"/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86" t="n">
        <x:v>44013</x:v>
      </x:c>
      <x:c r="B8" s="180" t="n">
        <x:v>1867</x:v>
      </x:c>
      <x:c r="C8" s="180" t="n">
        <x:v>28</x:v>
      </x:c>
      <x:c r="D8" s="180" t="n">
        <x:v>2434</x:v>
      </x:c>
      <x:c r="E8" s="180" t="n">
        <x:v>38</x:v>
      </x:c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86" t="n">
        <x:v>44044</x:v>
      </x:c>
      <x:c r="B9" s="180" t="n">
        <x:v>3972</x:v>
      </x:c>
      <x:c r="C9" s="180" t="n">
        <x:v>160</x:v>
      </x:c>
      <x:c r="D9" s="180" t="n">
        <x:v>6406</x:v>
      </x:c>
      <x:c r="E9" s="180" t="n">
        <x:v>198</x:v>
      </x:c>
      <x:c r="F9" s="178"/>
      <x:c r="G9" s="178"/>
      <x:c r="H9" s="178"/>
      <x:c r="I9" s="178"/>
      <x:c r="J9" s="178"/>
      <x:c r="K9" s="178"/>
      <x:c r="L9" s="178"/>
      <x:c r="M9" s="178"/>
      <x:c r="N9" s="17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86" t="n">
        <x:v>44075</x:v>
      </x:c>
      <x:c r="B10" s="180" t="n">
        <x:v>1397</x:v>
      </x:c>
      <x:c r="C10" s="180" t="n">
        <x:v>30</x:v>
      </x:c>
      <x:c r="D10" s="180" t="n">
        <x:v>7803</x:v>
      </x:c>
      <x:c r="E10" s="180" t="n">
        <x:v>228</x:v>
      </x:c>
      <x:c r="F10" s="178"/>
      <x:c r="G10" s="178"/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86" t="n">
        <x:v>44105</x:v>
      </x:c>
      <x:c r="B11" s="180" t="n">
        <x:v>466</x:v>
      </x:c>
      <x:c r="C11" s="180" t="n">
        <x:v>9</x:v>
      </x:c>
      <x:c r="D11" s="180" t="n">
        <x:v>8269</x:v>
      </x:c>
      <x:c r="E11" s="180" t="n">
        <x:v>237</x:v>
      </x:c>
      <x:c r="F11" s="178"/>
      <x:c r="G11" s="178"/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86" t="n">
        <x:v>44136</x:v>
      </x:c>
      <x:c r="B12" s="180" t="n">
        <x:v>1553</x:v>
      </x:c>
      <x:c r="C12" s="180" t="n">
        <x:v>38</x:v>
      </x:c>
      <x:c r="D12" s="180" t="n">
        <x:v>9822</x:v>
      </x:c>
      <x:c r="E12" s="180" t="n">
        <x:v>275</x:v>
      </x:c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86" t="n">
        <x:v>44166</x:v>
      </x:c>
      <x:c r="B13" s="180" t="n">
        <x:v>3141</x:v>
      </x:c>
      <x:c r="C13" s="180" t="n">
        <x:v>66</x:v>
      </x:c>
      <x:c r="D13" s="180" t="n">
        <x:v>12963</x:v>
      </x:c>
      <x:c r="E13" s="180" t="n">
        <x:v>341</x:v>
      </x:c>
      <x:c r="F13" s="178"/>
      <x:c r="G13" s="178"/>
      <x:c r="H13" s="178"/>
      <x:c r="I13" s="178"/>
      <x:c r="J13" s="178"/>
      <x:c r="K13" s="178"/>
      <x:c r="L13" s="178"/>
      <x:c r="M13" s="178"/>
      <x:c r="N13" s="178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86" t="n">
        <x:v>44197</x:v>
      </x:c>
      <x:c r="B14" s="180" t="n">
        <x:v>20308</x:v>
      </x:c>
      <x:c r="C14" s="180" t="n">
        <x:v>852</x:v>
      </x:c>
      <x:c r="D14" s="180" t="n">
        <x:v>33271</x:v>
      </x:c>
      <x:c r="E14" s="180" t="n">
        <x:v>1193</x:v>
      </x:c>
      <x:c r="F14" s="178"/>
      <x:c r="G14" s="178"/>
      <x:c r="H14" s="178"/>
      <x:c r="I14" s="178"/>
      <x:c r="J14" s="178"/>
      <x:c r="K14" s="178"/>
      <x:c r="L14" s="178"/>
      <x:c r="M14" s="178"/>
      <x:c r="N14" s="178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186" t="n">
        <x:v>44228</x:v>
      </x:c>
      <x:c r="B15" s="180" t="n">
        <x:v>2787</x:v>
      </x:c>
      <x:c r="C15" s="180" t="n">
        <x:v>270</x:v>
      </x:c>
      <x:c r="D15" s="180" t="n">
        <x:v>36058</x:v>
      </x:c>
      <x:c r="E15" s="180" t="n">
        <x:v>1463</x:v>
      </x:c>
      <x:c r="F15" s="178"/>
      <x:c r="G15" s="178"/>
      <x:c r="H15" s="178"/>
      <x:c r="I15" s="178"/>
      <x:c r="J15" s="178"/>
      <x:c r="K15" s="178"/>
      <x:c r="L15" s="178"/>
      <x:c r="M15" s="178"/>
      <x:c r="N15" s="17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86" t="n">
        <x:v>44256</x:v>
      </x:c>
      <x:c r="B16" s="180" t="n">
        <x:v>760</x:v>
      </x:c>
      <x:c r="C16" s="180" t="n">
        <x:v>56</x:v>
      </x:c>
      <x:c r="D16" s="180" t="n">
        <x:v>36818</x:v>
      </x:c>
      <x:c r="E16" s="180" t="n">
        <x:v>1519</x:v>
      </x:c>
      <x:c r="F16" s="178"/>
      <x:c r="G16" s="178"/>
      <x:c r="H16" s="178"/>
      <x:c r="I16" s="178"/>
      <x:c r="J16" s="178"/>
      <x:c r="K16" s="178"/>
      <x:c r="L16" s="178"/>
      <x:c r="M16" s="178"/>
      <x:c r="N16" s="17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86" t="n">
        <x:v>44287</x:v>
      </x:c>
      <x:c r="B17" s="180" t="n">
        <x:v>1246</x:v>
      </x:c>
      <x:c r="C17" s="180" t="n">
        <x:v>37</x:v>
      </x:c>
      <x:c r="D17" s="180" t="n">
        <x:v>38064</x:v>
      </x:c>
      <x:c r="E17" s="180" t="n">
        <x:v>1556</x:v>
      </x:c>
      <x:c r="F17" s="178"/>
      <x:c r="G17" s="178"/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86" t="n">
        <x:v>44317</x:v>
      </x:c>
      <x:c r="B18" s="180" t="n">
        <x:v>869</x:v>
      </x:c>
      <x:c r="C18" s="180" t="n">
        <x:v>38</x:v>
      </x:c>
      <x:c r="D18" s="180" t="n">
        <x:v>38933</x:v>
      </x:c>
      <x:c r="E18" s="180" t="n">
        <x:v>1594</x:v>
      </x:c>
      <x:c r="F18" s="178"/>
      <x:c r="G18" s="178"/>
      <x:c r="H18" s="178"/>
      <x:c r="I18" s="178"/>
      <x:c r="J18" s="178"/>
      <x:c r="K18" s="178"/>
      <x:c r="L18" s="178"/>
      <x:c r="M18" s="178"/>
      <x:c r="N18" s="17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86" t="n">
        <x:v>44348</x:v>
      </x:c>
      <x:c r="B19" s="180" t="n">
        <x:v>7085</x:v>
      </x:c>
      <x:c r="C19" s="180" t="n">
        <x:v>131</x:v>
      </x:c>
      <x:c r="D19" s="180" t="n">
        <x:v>46018</x:v>
      </x:c>
      <x:c r="E19" s="180" t="n">
        <x:v>1725</x:v>
      </x:c>
      <x:c r="F19" s="178"/>
      <x:c r="G19" s="178"/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86" t="n">
        <x:v>44378</x:v>
      </x:c>
      <x:c r="B20" s="180" t="n">
        <x:v>51259</x:v>
      </x:c>
      <x:c r="C20" s="180" t="n">
        <x:v>1325</x:v>
      </x:c>
      <x:c r="D20" s="180" t="n">
        <x:v>97277</x:v>
      </x:c>
      <x:c r="E20" s="180" t="n">
        <x:v>3050</x:v>
      </x:c>
      <x:c r="F20" s="178"/>
      <x:c r="G20" s="178"/>
      <x:c r="H20" s="178"/>
      <x:c r="I20" s="178"/>
      <x:c r="J20" s="178"/>
      <x:c r="K20" s="178"/>
      <x:c r="L20" s="178"/>
      <x:c r="M20" s="178"/>
      <x:c r="N20" s="17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86" t="n">
        <x:v>44409</x:v>
      </x:c>
      <x:c r="B21" s="180" t="n">
        <x:v>27090</x:v>
      </x:c>
      <x:c r="C21" s="180" t="n">
        <x:v>1340</x:v>
      </x:c>
      <x:c r="D21" s="180" t="n">
        <x:v>124367</x:v>
      </x:c>
      <x:c r="E21" s="180" t="n">
        <x:v>4390</x:v>
      </x:c>
      <x:c r="F21" s="178"/>
      <x:c r="G21" s="178"/>
      <x:c r="H21" s="178"/>
      <x:c r="I21" s="178"/>
      <x:c r="J21" s="178"/>
      <x:c r="K21" s="178"/>
      <x:c r="L21" s="178"/>
      <x:c r="M21" s="178"/>
      <x:c r="N21" s="17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86" t="n">
        <x:v>44440</x:v>
      </x:c>
      <x:c r="B22" s="180" t="n">
        <x:v>5138</x:v>
      </x:c>
      <x:c r="C22" s="180" t="n">
        <x:v>213</x:v>
      </x:c>
      <x:c r="D22" s="180" t="n">
        <x:v>129505</x:v>
      </x:c>
      <x:c r="E22" s="180" t="n">
        <x:v>4603</x:v>
      </x:c>
      <x:c r="F22" s="178"/>
      <x:c r="G22" s="178"/>
      <x:c r="H22" s="178"/>
      <x:c r="I22" s="178"/>
      <x:c r="J22" s="178"/>
      <x:c r="K22" s="178"/>
      <x:c r="L22" s="178"/>
      <x:c r="M22" s="178"/>
      <x:c r="N22" s="17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86" t="n">
        <x:v>44470</x:v>
      </x:c>
      <x:c r="B23" s="180" t="n">
        <x:v>3449</x:v>
      </x:c>
      <x:c r="C23" s="180" t="n">
        <x:v>74</x:v>
      </x:c>
      <x:c r="D23" s="180" t="n">
        <x:v>132954</x:v>
      </x:c>
      <x:c r="E23" s="180" t="n">
        <x:v>4677</x:v>
      </x:c>
      <x:c r="F23" s="178"/>
      <x:c r="G23" s="178"/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86" t="n">
        <x:v>44501</x:v>
      </x:c>
      <x:c r="B24" s="180" t="n">
        <x:v>997</x:v>
      </x:c>
      <x:c r="C24" s="180" t="n">
        <x:v>28</x:v>
      </x:c>
      <x:c r="D24" s="180" t="n">
        <x:v>133951</x:v>
      </x:c>
      <x:c r="E24" s="180" t="n">
        <x:v>4705</x:v>
      </x:c>
      <x:c r="F24" s="178"/>
      <x:c r="G24" s="178"/>
      <x:c r="H24" s="178"/>
      <x:c r="I24" s="178"/>
      <x:c r="J24" s="178"/>
      <x:c r="K24" s="178"/>
      <x:c r="L24" s="178"/>
      <x:c r="M24" s="178"/>
      <x:c r="N24" s="17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86" t="n">
        <x:v>44531</x:v>
      </x:c>
      <x:c r="B25" s="180" t="n">
        <x:v>69795</x:v>
      </x:c>
      <x:c r="C25" s="180" t="n">
        <x:v>180</x:v>
      </x:c>
      <x:c r="D25" s="180" t="n">
        <x:v>203746</x:v>
      </x:c>
      <x:c r="E25" s="180" t="n">
        <x:v>4885</x:v>
      </x:c>
      <x:c r="F25" s="178"/>
      <x:c r="G25" s="178"/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86" t="n">
        <x:v>44562</x:v>
      </x:c>
      <x:c r="B26" s="180" t="n">
        <x:v>25669</x:v>
      </x:c>
      <x:c r="C26" s="180" t="n">
        <x:v>448</x:v>
      </x:c>
      <x:c r="D26" s="180" t="n">
        <x:v>229415</x:v>
      </x:c>
      <x:c r="E26" s="180" t="n">
        <x:v>5333</x:v>
      </x:c>
      <x:c r="F26" s="178"/>
      <x:c r="G26" s="178"/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86" t="n">
        <x:v>44593</x:v>
      </x:c>
      <x:c r="B27" s="180" t="n">
        <x:v>6388</x:v>
      </x:c>
      <x:c r="C27" s="180" t="n">
        <x:v>60</x:v>
      </x:c>
      <x:c r="D27" s="180" t="n">
        <x:v>235803</x:v>
      </x:c>
      <x:c r="E27" s="180" t="n">
        <x:v>5393</x:v>
      </x:c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86" t="n">
        <x:v>44621</x:v>
      </x:c>
      <x:c r="B28" s="180" t="n">
        <x:v>9964</x:v>
      </x:c>
      <x:c r="C28" s="180" t="n">
        <x:v>44</x:v>
      </x:c>
      <x:c r="D28" s="180" t="n">
        <x:v>245767</x:v>
      </x:c>
      <x:c r="E28" s="180" t="n">
        <x:v>5437</x:v>
      </x:c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86" t="n">
        <x:v>44652</x:v>
      </x:c>
      <x:c r="B29" s="180" t="n">
        <x:v>1757</x:v>
      </x:c>
      <x:c r="C29" s="180" t="n">
        <x:v>31</x:v>
      </x:c>
      <x:c r="D29" s="180" t="n">
        <x:v>247524</x:v>
      </x:c>
      <x:c r="E29" s="180" t="n">
        <x:v>5468</x:v>
      </x:c>
      <x:c r="F29" s="178"/>
      <x:c r="G29" s="178"/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186" t="n">
        <x:v>44682</x:v>
      </x:c>
      <x:c r="B30" s="180" t="n">
        <x:v>4568</x:v>
      </x:c>
      <x:c r="C30" s="180" t="n">
        <x:v>32</x:v>
      </x:c>
      <x:c r="D30" s="180" t="n">
        <x:v>252092</x:v>
      </x:c>
      <x:c r="E30" s="180" t="n">
        <x:v>5500</x:v>
      </x:c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86" t="n">
        <x:v>44713</x:v>
      </x:c>
      <x:c r="B31" s="180" t="n">
        <x:v>3263</x:v>
      </x:c>
      <x:c r="C31" s="180" t="n">
        <x:v>49</x:v>
      </x:c>
      <x:c r="D31" s="180" t="n">
        <x:v>255355</x:v>
      </x:c>
      <x:c r="E31" s="180" t="n">
        <x:v>5549</x:v>
      </x:c>
      <x:c r="F31" s="178"/>
      <x:c r="G31" s="178"/>
      <x:c r="H31" s="178"/>
      <x:c r="I31" s="178"/>
      <x:c r="J31" s="178"/>
      <x:c r="K31" s="178"/>
      <x:c r="L31" s="178"/>
      <x:c r="M31" s="178"/>
      <x:c r="N31" s="17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86" t="n">
        <x:v>44743</x:v>
      </x:c>
      <x:c r="B32" s="180" t="n">
        <x:v>1023</x:v>
      </x:c>
      <x:c r="C32" s="180" t="n">
        <x:v>28</x:v>
      </x:c>
      <x:c r="D32" s="180" t="n">
        <x:v>256378</x:v>
      </x:c>
      <x:c r="E32" s="180" t="n">
        <x:v>5577</x:v>
      </x:c>
      <x:c r="F32" s="178"/>
      <x:c r="G32" s="178"/>
      <x:c r="H32" s="178"/>
      <x:c r="I32" s="178"/>
      <x:c r="J32" s="178"/>
      <x:c r="K32" s="178"/>
      <x:c r="L32" s="178"/>
      <x:c r="M32" s="178"/>
      <x:c r="N32" s="17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86" t="n">
        <x:v>44774</x:v>
      </x:c>
      <x:c r="B33" s="180" t="n">
        <x:v>321</x:v>
      </x:c>
      <x:c r="C33" s="180" t="n">
        <x:v>16</x:v>
      </x:c>
      <x:c r="D33" s="180" t="n">
        <x:v>256699</x:v>
      </x:c>
      <x:c r="E33" s="180" t="n">
        <x:v>5593</x:v>
      </x:c>
      <x:c r="F33" s="178"/>
      <x:c r="G33" s="178"/>
      <x:c r="H33" s="178"/>
      <x:c r="I33" s="178"/>
      <x:c r="J33" s="178"/>
      <x:c r="K33" s="178"/>
      <x:c r="L33" s="178"/>
      <x:c r="M33" s="178"/>
      <x:c r="N33" s="17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86" t="n">
        <x:v>44805</x:v>
      </x:c>
      <x:c r="B34" s="180" t="n">
        <x:v>641</x:v>
      </x:c>
      <x:c r="C34" s="180" t="n">
        <x:v>6</x:v>
      </x:c>
      <x:c r="D34" s="180" t="n">
        <x:v>257340</x:v>
      </x:c>
      <x:c r="E34" s="180" t="n">
        <x:v>5599</x:v>
      </x:c>
      <x:c r="F34" s="178"/>
      <x:c r="G34" s="178"/>
      <x:c r="H34" s="178"/>
      <x:c r="I34" s="178"/>
      <x:c r="J34" s="178"/>
      <x:c r="K34" s="178"/>
      <x:c r="L34" s="178"/>
      <x:c r="M34" s="178"/>
      <x:c r="N34" s="17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86" t="n">
        <x:v>44835</x:v>
      </x:c>
      <x:c r="B35" s="180" t="n">
        <x:v>697</x:v>
      </x:c>
      <x:c r="C35" s="180" t="n">
        <x:v>11</x:v>
      </x:c>
      <x:c r="D35" s="180" t="n">
        <x:v>258037</x:v>
      </x:c>
      <x:c r="E35" s="180" t="n">
        <x:v>5610</x:v>
      </x:c>
      <x:c r="F35" s="178"/>
      <x:c r="G35" s="178"/>
      <x:c r="H35" s="178"/>
      <x:c r="I35" s="178"/>
      <x:c r="J35" s="178"/>
      <x:c r="K35" s="178"/>
      <x:c r="L35" s="178"/>
      <x:c r="M35" s="178"/>
      <x:c r="N35" s="17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86" t="n">
        <x:v>44866</x:v>
      </x:c>
      <x:c r="B36" s="180" t="n">
        <x:v>917</x:v>
      </x:c>
      <x:c r="C36" s="180" t="n">
        <x:v>6</x:v>
      </x:c>
      <x:c r="D36" s="180" t="n">
        <x:v>258954</x:v>
      </x:c>
      <x:c r="E36" s="180" t="n">
        <x:v>5616</x:v>
      </x:c>
      <x:c r="F36" s="178"/>
      <x:c r="G36" s="178"/>
      <x:c r="H36" s="178"/>
      <x:c r="I36" s="178"/>
      <x:c r="J36" s="178"/>
      <x:c r="K36" s="178"/>
      <x:c r="L36" s="178"/>
      <x:c r="M36" s="178"/>
      <x:c r="N36" s="17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86" t="n">
        <x:v>44896</x:v>
      </x:c>
      <x:c r="B37" s="180" t="n">
        <x:v>990</x:v>
      </x:c>
      <x:c r="C37" s="180" t="n">
        <x:v>19</x:v>
      </x:c>
      <x:c r="D37" s="180" t="n">
        <x:v>259944</x:v>
      </x:c>
      <x:c r="E37" s="180" t="n">
        <x:v>5635</x:v>
      </x:c>
      <x:c r="F37" s="178"/>
      <x:c r="G37" s="178"/>
      <x:c r="H37" s="178"/>
      <x:c r="I37" s="178"/>
      <x:c r="J37" s="178"/>
      <x:c r="K37" s="178"/>
      <x:c r="L37" s="178"/>
      <x:c r="M37" s="178"/>
      <x:c r="N37" s="17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86" t="n">
        <x:v>44927</x:v>
      </x:c>
      <x:c r="B38" s="180" t="n">
        <x:v>2358</x:v>
      </x:c>
      <x:c r="C38" s="180" t="n">
        <x:v>23</x:v>
      </x:c>
      <x:c r="D38" s="180" t="n">
        <x:v>262302</x:v>
      </x:c>
      <x:c r="E38" s="180" t="n">
        <x:v>5658</x:v>
      </x:c>
      <x:c r="F38" s="178"/>
      <x:c r="G38" s="178"/>
      <x:c r="H38" s="178"/>
      <x:c r="I38" s="178"/>
      <x:c r="J38" s="178"/>
      <x:c r="K38" s="178"/>
      <x:c r="L38" s="178"/>
      <x:c r="M38" s="178"/>
      <x:c r="N38" s="17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86" t="n">
        <x:v>44958</x:v>
      </x:c>
      <x:c r="B39" s="180" t="n">
        <x:v>1806</x:v>
      </x:c>
      <x:c r="C39" s="180" t="n">
        <x:v>10</x:v>
      </x:c>
      <x:c r="D39" s="180" t="n">
        <x:v>264108</x:v>
      </x:c>
      <x:c r="E39" s="180" t="n">
        <x:v>5668</x:v>
      </x:c>
      <x:c r="F39" s="178"/>
      <x:c r="G39" s="178"/>
      <x:c r="H39" s="178"/>
      <x:c r="I39" s="178"/>
      <x:c r="J39" s="178"/>
      <x:c r="K39" s="178"/>
      <x:c r="L39" s="178"/>
      <x:c r="M39" s="178"/>
      <x:c r="N39" s="17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86" t="n">
        <x:v>44986</x:v>
      </x:c>
      <x:c r="B40" s="180" t="n">
        <x:v>401</x:v>
      </x:c>
      <x:c r="C40" s="180" t="n">
        <x:v>11</x:v>
      </x:c>
      <x:c r="D40" s="180" t="n">
        <x:v>264509</x:v>
      </x:c>
      <x:c r="E40" s="180" t="n">
        <x:v>5679</x:v>
      </x:c>
      <x:c r="F40" s="178"/>
      <x:c r="G40" s="178"/>
      <x:c r="H40" s="178"/>
      <x:c r="I40" s="178"/>
      <x:c r="J40" s="178"/>
      <x:c r="K40" s="178"/>
      <x:c r="L40" s="178"/>
      <x:c r="M40" s="178"/>
      <x:c r="N40" s="17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86" t="n">
        <x:v>45017</x:v>
      </x:c>
      <x:c r="B41" s="180" t="n">
        <x:v>174</x:v>
      </x:c>
      <x:c r="C41" s="180" t="n">
        <x:v>7</x:v>
      </x:c>
      <x:c r="D41" s="180" t="n">
        <x:v>264683</x:v>
      </x:c>
      <x:c r="E41" s="180" t="n">
        <x:v>5686</x:v>
      </x:c>
      <x:c r="F41" s="178"/>
      <x:c r="G41" s="178"/>
      <x:c r="H41" s="178"/>
      <x:c r="I41" s="178"/>
      <x:c r="J41" s="178"/>
      <x:c r="K41" s="178"/>
      <x:c r="L41" s="178"/>
      <x:c r="M41" s="178"/>
      <x:c r="N41" s="17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86" t="n">
        <x:v>45047</x:v>
      </x:c>
      <x:c r="B42" s="180" t="n">
        <x:v>340</x:v>
      </x:c>
      <x:c r="C42" s="180" t="n">
        <x:v>7</x:v>
      </x:c>
      <x:c r="D42" s="180" t="n">
        <x:v>265023</x:v>
      </x:c>
      <x:c r="E42" s="180" t="n">
        <x:v>5693</x:v>
      </x:c>
      <x:c r="F42" s="178"/>
      <x:c r="G42" s="178"/>
      <x:c r="H42" s="178"/>
      <x:c r="I42" s="178"/>
      <x:c r="J42" s="178"/>
      <x:c r="K42" s="178"/>
      <x:c r="L42" s="178"/>
      <x:c r="M42" s="178"/>
      <x:c r="N42" s="17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86" t="n">
        <x:v>45078</x:v>
      </x:c>
      <x:c r="B43" s="180" t="n">
        <x:v>390</x:v>
      </x:c>
      <x:c r="C43" s="180" t="n">
        <x:v>14</x:v>
      </x:c>
      <x:c r="D43" s="180" t="n">
        <x:v>265413</x:v>
      </x:c>
      <x:c r="E43" s="180" t="n">
        <x:v>5707</x:v>
      </x:c>
      <x:c r="F43" s="178"/>
      <x:c r="G43" s="178"/>
      <x:c r="H43" s="178"/>
      <x:c r="I43" s="178"/>
      <x:c r="J43" s="178"/>
      <x:c r="K43" s="178"/>
      <x:c r="L43" s="178"/>
      <x:c r="M43" s="178"/>
      <x:c r="N43" s="17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86" t="n">
        <x:v>45108</x:v>
      </x:c>
      <x:c r="B44" s="180" t="n">
        <x:v>280</x:v>
      </x:c>
      <x:c r="C44" s="180" t="n">
        <x:v>5</x:v>
      </x:c>
      <x:c r="D44" s="180" t="n">
        <x:v>265693</x:v>
      </x:c>
      <x:c r="E44" s="180" t="n">
        <x:v>5712</x:v>
      </x:c>
      <x:c r="F44" s="178"/>
      <x:c r="G44" s="178"/>
      <x:c r="H44" s="178"/>
      <x:c r="I44" s="178"/>
      <x:c r="J44" s="178"/>
      <x:c r="K44" s="178"/>
      <x:c r="L44" s="178"/>
      <x:c r="M44" s="178"/>
      <x:c r="N44" s="17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86" t="n">
        <x:v>45139</x:v>
      </x:c>
      <x:c r="B45" s="180" t="n">
        <x:v>38</x:v>
      </x:c>
      <x:c r="C45" s="180" t="n">
        <x:v>5</x:v>
      </x:c>
      <x:c r="D45" s="180" t="n">
        <x:v>265731</x:v>
      </x:c>
      <x:c r="E45" s="180" t="n">
        <x:v>5717</x:v>
      </x:c>
      <x:c r="F45" s="178"/>
      <x:c r="G45" s="178"/>
      <x:c r="H45" s="178"/>
      <x:c r="I45" s="178"/>
      <x:c r="J45" s="178"/>
      <x:c r="K45" s="178"/>
      <x:c r="L45" s="178"/>
      <x:c r="M45" s="178"/>
      <x:c r="N45" s="17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86" t="n">
        <x:v>45170</x:v>
      </x:c>
      <x:c r="B46" s="180" t="n">
        <x:v>22</x:v>
      </x:c>
      <x:c r="C46" s="180" t="n">
        <x:v>1</x:v>
      </x:c>
      <x:c r="D46" s="180" t="n">
        <x:v>265753</x:v>
      </x:c>
      <x:c r="E46" s="180" t="n">
        <x:v>5718</x:v>
      </x:c>
      <x:c r="F46" s="178"/>
      <x:c r="G46" s="178"/>
      <x:c r="H46" s="178"/>
      <x:c r="I46" s="178"/>
      <x:c r="J46" s="178"/>
      <x:c r="K46" s="178"/>
      <x:c r="L46" s="178"/>
      <x:c r="M46" s="178"/>
      <x:c r="N46" s="17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86" t="n">
        <x:v>45200</x:v>
      </x:c>
      <x:c r="B47" s="180" t="n">
        <x:v>94</x:v>
      </x:c>
      <x:c r="C47" s="180" t="n">
        <x:v>3</x:v>
      </x:c>
      <x:c r="D47" s="180" t="n">
        <x:v>265847</x:v>
      </x:c>
      <x:c r="E47" s="180" t="n">
        <x:v>5721</x:v>
      </x:c>
      <x:c r="F47" s="178"/>
      <x:c r="G47" s="178"/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86" t="n">
        <x:v>45231</x:v>
      </x:c>
      <x:c r="B48" s="180" t="n">
        <x:v>128</x:v>
      </x:c>
      <x:c r="C48" s="180" t="n">
        <x:v>9</x:v>
      </x:c>
      <x:c r="D48" s="180" t="n">
        <x:v>265975</x:v>
      </x:c>
      <x:c r="E48" s="180" t="n">
        <x:v>5730</x:v>
      </x:c>
      <x:c r="F48" s="178"/>
      <x:c r="G48" s="178"/>
      <x:c r="H48" s="178"/>
      <x:c r="I48" s="178"/>
      <x:c r="J48" s="178"/>
      <x:c r="K48" s="178"/>
      <x:c r="L48" s="178"/>
      <x:c r="M48" s="178"/>
      <x:c r="N48" s="17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86" t="n">
        <x:v>45261</x:v>
      </x:c>
      <x:c r="B49" s="180" t="n">
        <x:v>96</x:v>
      </x:c>
      <x:c r="C49" s="180" t="n">
        <x:v>1</x:v>
      </x:c>
      <x:c r="D49" s="180" t="n">
        <x:v>266071</x:v>
      </x:c>
      <x:c r="E49" s="180" t="n">
        <x:v>5731</x:v>
      </x:c>
      <x:c r="F49" s="178"/>
      <x:c r="G49" s="178"/>
      <x:c r="H49" s="178"/>
      <x:c r="I49" s="178"/>
      <x:c r="J49" s="178"/>
      <x:c r="K49" s="178"/>
      <x:c r="L49" s="178"/>
      <x:c r="M49" s="178"/>
      <x:c r="N49" s="17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86" t="n">
        <x:v>45292</x:v>
      </x:c>
      <x:c r="B50" s="180" t="n">
        <x:v>217</x:v>
      </x:c>
      <x:c r="C50" s="180" t="n">
        <x:v>6</x:v>
      </x:c>
      <x:c r="D50" s="180" t="n">
        <x:v>266288</x:v>
      </x:c>
      <x:c r="E50" s="180" t="n">
        <x:v>5737</x:v>
      </x:c>
      <x:c r="F50" s="178"/>
      <x:c r="G50" s="178"/>
      <x:c r="H50" s="178"/>
      <x:c r="I50" s="178"/>
      <x:c r="J50" s="178"/>
      <x:c r="K50" s="178"/>
      <x:c r="L50" s="178"/>
      <x:c r="M50" s="178"/>
      <x:c r="N50" s="178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86" t="n">
        <x:v>45323</x:v>
      </x:c>
      <x:c r="B51" s="180" t="n">
        <x:v>67</x:v>
      </x:c>
      <x:c r="C51" s="180" t="n">
        <x:v>2</x:v>
      </x:c>
      <x:c r="D51" s="180" t="n">
        <x:v>266355</x:v>
      </x:c>
      <x:c r="E51" s="180" t="n">
        <x:v>5739</x:v>
      </x:c>
      <x:c r="F51" s="178"/>
      <x:c r="G51" s="178"/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86" t="n">
        <x:v>45352</x:v>
      </x:c>
      <x:c r="B52" s="180" t="n">
        <x:v>7</x:v>
      </x:c>
      <x:c r="C52" s="180" t="n">
        <x:v>1</x:v>
      </x:c>
      <x:c r="D52" s="180" t="n">
        <x:v>266362</x:v>
      </x:c>
      <x:c r="E52" s="180" t="n">
        <x:v>5740</x:v>
      </x:c>
      <x:c r="F52" s="178"/>
      <x:c r="G52" s="178"/>
      <x:c r="H52" s="178"/>
      <x:c r="I52" s="178"/>
      <x:c r="J52" s="178"/>
      <x:c r="K52" s="178"/>
      <x:c r="L52" s="178"/>
      <x:c r="M52" s="178"/>
      <x:c r="N52" s="178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86" t="n">
        <x:v>45383</x:v>
      </x:c>
      <x:c r="B53" s="180" t="n">
        <x:v>3</x:v>
      </x:c>
      <x:c r="C53" s="180" t="n">
        <x:v>0</x:v>
      </x:c>
      <x:c r="D53" s="180" t="n">
        <x:v>266365</x:v>
      </x:c>
      <x:c r="E53" s="180" t="n">
        <x:v>5740</x:v>
      </x:c>
      <x:c r="F53" s="178"/>
      <x:c r="G53" s="178"/>
      <x:c r="H53" s="178"/>
      <x:c r="I53" s="178"/>
      <x:c r="J53" s="178"/>
      <x:c r="K53" s="178"/>
      <x:c r="L53" s="178"/>
      <x:c r="M53" s="178"/>
      <x:c r="N53" s="178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86" t="n">
        <x:v>45413</x:v>
      </x:c>
      <x:c r="B54" s="180" t="n">
        <x:v>0</x:v>
      </x:c>
      <x:c r="C54" s="180" t="n">
        <x:v>0</x:v>
      </x:c>
      <x:c r="D54" s="180" t="n">
        <x:v>266365</x:v>
      </x:c>
      <x:c r="E54" s="180" t="n">
        <x:v>5740</x:v>
      </x:c>
      <x:c r="F54" s="178"/>
      <x:c r="G54" s="178"/>
      <x:c r="H54" s="178"/>
      <x:c r="I54" s="178"/>
      <x:c r="J54" s="178"/>
      <x:c r="K54" s="178"/>
      <x:c r="L54" s="178"/>
      <x:c r="M54" s="178"/>
      <x:c r="N54" s="178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86" t="n">
        <x:v>45444</x:v>
      </x:c>
      <x:c r="B55" s="180" t="n">
        <x:v>13</x:v>
      </x:c>
      <x:c r="C55" s="180" t="n">
        <x:v>0</x:v>
      </x:c>
      <x:c r="D55" s="180" t="n">
        <x:v>266378</x:v>
      </x:c>
      <x:c r="E55" s="180" t="n">
        <x:v>5740</x:v>
      </x:c>
      <x:c r="F55" s="178"/>
      <x:c r="G55" s="178"/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86" t="n">
        <x:v>45474</x:v>
      </x:c>
      <x:c r="B56" s="180" t="n">
        <x:v>8</x:v>
      </x:c>
      <x:c r="C56" s="180" t="n">
        <x:v>0</x:v>
      </x:c>
      <x:c r="D56" s="180" t="n">
        <x:v>266386</x:v>
      </x:c>
      <x:c r="E56" s="180" t="n">
        <x:v>5740</x:v>
      </x:c>
      <x:c r="F56" s="178"/>
      <x:c r="G56" s="178"/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86" t="n">
        <x:v>45505</x:v>
      </x:c>
      <x:c r="B57" s="180" t="n">
        <x:v>1</x:v>
      </x:c>
      <x:c r="C57" s="180" t="n">
        <x:v>0</x:v>
      </x:c>
      <x:c r="D57" s="180" t="n">
        <x:v>266387</x:v>
      </x:c>
      <x:c r="E57" s="180" t="n">
        <x:v>5740</x:v>
      </x:c>
      <x:c r="F57" s="178"/>
      <x:c r="G57" s="178"/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86" t="n">
        <x:v>45536</x:v>
      </x:c>
      <x:c r="B58" s="180" t="n">
        <x:v>6</x:v>
      </x:c>
      <x:c r="C58" s="180" t="n">
        <x:v>0</x:v>
      </x:c>
      <x:c r="D58" s="180" t="n">
        <x:v>266393</x:v>
      </x:c>
      <x:c r="E58" s="180" t="n">
        <x:v>5740</x:v>
      </x:c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86" t="n">
        <x:v>45566</x:v>
      </x:c>
      <x:c r="B59" s="180" t="n">
        <x:v>3</x:v>
      </x:c>
      <x:c r="C59" s="180" t="n">
        <x:v>0</x:v>
      </x:c>
      <x:c r="D59" s="180" t="n">
        <x:v>266396</x:v>
      </x:c>
      <x:c r="E59" s="180" t="n">
        <x:v>5740</x:v>
      </x:c>
      <x:c r="F59" s="178"/>
      <x:c r="G59" s="178"/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86" t="n">
        <x:v>45597</x:v>
      </x:c>
      <x:c r="B60" s="180" t="n">
        <x:v>0</x:v>
      </x:c>
      <x:c r="C60" s="180" t="n">
        <x:v>0</x:v>
      </x:c>
      <x:c r="D60" s="180" t="n">
        <x:v>266396</x:v>
      </x:c>
      <x:c r="E60" s="180" t="n">
        <x:v>5740</x:v>
      </x:c>
      <x:c r="F60" s="178"/>
      <x:c r="G60" s="178"/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86" t="n">
        <x:v>45627</x:v>
      </x:c>
      <x:c r="B61" s="180" t="n">
        <x:v>5</x:v>
      </x:c>
      <x:c r="C61" s="180" t="n">
        <x:v>0</x:v>
      </x:c>
      <x:c r="D61" s="180" t="n">
        <x:v>266401</x:v>
      </x:c>
      <x:c r="E61" s="180" t="n">
        <x:v>5740</x:v>
      </x:c>
      <x:c r="F61" s="178"/>
      <x:c r="G61" s="178"/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86" t="n">
        <x:v>45658</x:v>
      </x:c>
      <x:c r="B62" s="180" t="n">
        <x:v>3</x:v>
      </x:c>
      <x:c r="C62" s="180" t="n">
        <x:v>0</x:v>
      </x:c>
      <x:c r="D62" s="180" t="n">
        <x:v>266404</x:v>
      </x:c>
      <x:c r="E62" s="180" t="n">
        <x:v>5740</x:v>
      </x:c>
      <x:c r="F62" s="178"/>
      <x:c r="G62" s="178"/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86" t="n">
        <x:v>45689</x:v>
      </x:c>
      <x:c r="B63" s="180" t="n">
        <x:v>6</x:v>
      </x:c>
      <x:c r="C63" s="180" t="n">
        <x:v>0</x:v>
      </x:c>
      <x:c r="D63" s="180" t="n">
        <x:v>266410</x:v>
      </x:c>
      <x:c r="E63" s="180" t="n">
        <x:v>5740</x:v>
      </x:c>
      <x:c r="F63" s="178"/>
      <x:c r="G63" s="178"/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86" t="n">
        <x:v>45717</x:v>
      </x:c>
      <x:c r="B64" s="180" t="n">
        <x:v>9</x:v>
      </x:c>
      <x:c r="C64" s="180" t="n">
        <x:v>0</x:v>
      </x:c>
      <x:c r="D64" s="180" t="n">
        <x:v>266419</x:v>
      </x:c>
      <x:c r="E64" s="180" t="n">
        <x:v>5740</x:v>
      </x:c>
      <x:c r="F64" s="178"/>
      <x:c r="G64" s="178"/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86" t="n">
        <x:v>45748</x:v>
      </x:c>
      <x:c r="B65" s="180" t="n">
        <x:v>5</x:v>
      </x:c>
      <x:c r="C65" s="180" t="n">
        <x:v>0</x:v>
      </x:c>
      <x:c r="D65" s="180" t="n">
        <x:v>266424</x:v>
      </x:c>
      <x:c r="E65" s="180" t="n">
        <x:v>5740</x:v>
      </x:c>
      <x:c r="F65" s="178"/>
      <x:c r="G65" s="178"/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86" t="n">
        <x:v>45778</x:v>
      </x:c>
      <x:c r="B66" s="180" t="n">
        <x:v>1</x:v>
      </x:c>
      <x:c r="C66" s="180" t="n">
        <x:v>0</x:v>
      </x:c>
      <x:c r="D66" s="180" t="n">
        <x:v>266425</x:v>
      </x:c>
      <x:c r="E66" s="180" t="n">
        <x:v>5740</x:v>
      </x:c>
      <x:c r="F66" s="178"/>
      <x:c r="G66" s="178"/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86" t="n">
        <x:v>45809</x:v>
      </x:c>
      <x:c r="B67" s="180" t="n">
        <x:v>7</x:v>
      </x:c>
      <x:c r="C67" s="180" t="n">
        <x:v>0</x:v>
      </x:c>
      <x:c r="D67" s="180" t="n">
        <x:v>266432</x:v>
      </x:c>
      <x:c r="E67" s="180" t="n">
        <x:v>5740</x:v>
      </x:c>
      <x:c r="F67" s="178"/>
      <x:c r="G67" s="178"/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86" t="n">
        <x:v>45839</x:v>
      </x:c>
      <x:c r="B68" s="180" t="n">
        <x:v>4</x:v>
      </x:c>
      <x:c r="C68" s="180" t="n">
        <x:v>0</x:v>
      </x:c>
      <x:c r="D68" s="180" t="n">
        <x:v>266436</x:v>
      </x:c>
      <x:c r="E68" s="180" t="n">
        <x:v>5740</x:v>
      </x:c>
      <x:c r="F68" s="178"/>
      <x:c r="G68" s="178"/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86" t="n">
        <x:v>45870</x:v>
      </x:c>
      <x:c r="B69" s="180" t="n">
        <x:v>0</x:v>
      </x:c>
      <x:c r="C69" s="180" t="n">
        <x:v>0</x:v>
      </x:c>
      <x:c r="D69" s="180" t="n">
        <x:v>266436</x:v>
      </x:c>
      <x:c r="E69" s="180" t="n">
        <x:v>5740</x:v>
      </x:c>
      <x:c r="F69" s="178"/>
      <x:c r="G69" s="178"/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86" t="n">
        <x:v>45901</x:v>
      </x:c>
      <x:c r="B70" s="180" t="n">
        <x:v>0</x:v>
      </x:c>
      <x:c r="C70" s="180" t="n">
        <x:v>0</x:v>
      </x:c>
      <x:c r="D70" s="180" t="n">
        <x:v>266436</x:v>
      </x:c>
      <x:c r="E70" s="180" t="n">
        <x:v>5740</x:v>
      </x:c>
      <x:c r="F70" s="178"/>
      <x:c r="G70" s="178"/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86" t="n">
        <x:v>45931</x:v>
      </x:c>
      <x:c r="B71" s="180" t="n">
        <x:v>0</x:v>
      </x:c>
      <x:c r="C71" s="180" t="n">
        <x:v>0</x:v>
      </x:c>
      <x:c r="D71" s="180" t="n">
        <x:v>266436</x:v>
      </x:c>
      <x:c r="E71" s="180" t="n">
        <x:v>5740</x:v>
      </x:c>
      <x:c r="F71" s="178"/>
      <x:c r="G71" s="178"/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86" t="n">
        <x:v>45962</x:v>
      </x:c>
      <x:c r="B72" s="180" t="n">
        <x:v>0</x:v>
      </x:c>
      <x:c r="C72" s="180" t="n">
        <x:v>0</x:v>
      </x:c>
      <x:c r="D72" s="180" t="n">
        <x:v>266436</x:v>
      </x:c>
      <x:c r="E72" s="180" t="n">
        <x:v>5740</x:v>
      </x:c>
      <x:c r="F72" s="178"/>
      <x:c r="G72" s="178"/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86" t="n">
        <x:v>45992</x:v>
      </x:c>
      <x:c r="B73" s="180" t="n">
        <x:v>0</x:v>
      </x:c>
      <x:c r="C73" s="180" t="n">
        <x:v>0</x:v>
      </x:c>
      <x:c r="D73" s="180" t="n">
        <x:v>266436</x:v>
      </x:c>
      <x:c r="E73" s="180" t="n">
        <x:v>5740</x:v>
      </x:c>
      <x:c r="F73" s="178"/>
      <x:c r="G73" s="178"/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86" t="n">
        <x:v>46023</x:v>
      </x:c>
      <x:c r="B74" s="180" t="n">
        <x:v>0</x:v>
      </x:c>
      <x:c r="C74" s="180" t="n">
        <x:v>0</x:v>
      </x:c>
      <x:c r="D74" s="180" t="n">
        <x:v>266436</x:v>
      </x:c>
      <x:c r="E74" s="180" t="n">
        <x:v>5740</x:v>
      </x:c>
      <x:c r="F74" s="178"/>
      <x:c r="G74" s="178"/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86" t="n">
        <x:v>46054</x:v>
      </x:c>
      <x:c r="B75" s="180" t="n">
        <x:v>0</x:v>
      </x:c>
      <x:c r="C75" s="180" t="n">
        <x:v>0</x:v>
      </x:c>
      <x:c r="D75" s="180" t="n">
        <x:v>266436</x:v>
      </x:c>
      <x:c r="E75" s="180" t="n">
        <x:v>5740</x:v>
      </x:c>
      <x:c r="F75" s="178"/>
      <x:c r="G75" s="178"/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86" t="n">
        <x:v>46082</x:v>
      </x:c>
      <x:c r="B76" s="180" t="n">
        <x:v>0</x:v>
      </x:c>
      <x:c r="C76" s="180" t="n">
        <x:v>0</x:v>
      </x:c>
      <x:c r="D76" s="180" t="n">
        <x:v>266436</x:v>
      </x:c>
      <x:c r="E76" s="180" t="n">
        <x:v>5740</x:v>
      </x:c>
      <x:c r="F76" s="178"/>
      <x:c r="G76" s="178"/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86" t="n">
        <x:v>46113</x:v>
      </x:c>
      <x:c r="B77" s="180" t="n">
        <x:v>0</x:v>
      </x:c>
      <x:c r="C77" s="180" t="n">
        <x:v>0</x:v>
      </x:c>
      <x:c r="D77" s="180" t="n">
        <x:v>266436</x:v>
      </x:c>
      <x:c r="E77" s="180" t="n">
        <x:v>5740</x:v>
      </x:c>
      <x:c r="F77" s="178"/>
      <x:c r="G77" s="178"/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</x:sheetData>
  <x:pageMargins left="0.7" right="0.7" top="0.75" bottom="0.75" header="0.3" footer="0.3"/>
  <x:tableParts count="1">
    <x:tablePart xmlns:r="http://schemas.openxmlformats.org/officeDocument/2006/relationships" r:id="R52da07fbf29b40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23" t="str">
        <x:v>Country</x:v>
      </x:c>
      <x:c r="B1" s="23" t="str">
        <x:v>Total Deaths</x:v>
      </x:c>
      <x:c r="C1" s="23" t="str">
        <x:v>Total Cases</x:v>
      </x:c>
      <x:c r="D1" s="23" t="str">
        <x:v>CFR</x:v>
      </x:c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78" t="str">
        <x:v>United States of America</x:v>
      </x:c>
      <x:c r="B2" s="180" t="n">
        <x:v>1237889</x:v>
      </x:c>
      <x:c r="C2" s="180" t="n">
        <x:v>103436829</x:v>
      </x:c>
      <x:c r="D2" s="181" t="n">
        <x:v>0.011967584582470138</x:v>
      </x:c>
      <x:c r="E2" s="178"/>
      <x:c r="F2" s="178"/>
      <x:c r="G2" s="178"/>
      <x:c r="H2" s="178"/>
      <x:c r="I2" s="178"/>
      <x:c r="J2" s="178"/>
      <x:c r="K2" s="178"/>
      <x:c r="L2" s="178"/>
      <x:c r="M2" s="178"/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78" t="str">
        <x:v>Brazil</x:v>
      </x:c>
      <x:c r="B3" s="180" t="n">
        <x:v>703928</x:v>
      </x:c>
      <x:c r="C3" s="180" t="n">
        <x:v>38016865</x:v>
      </x:c>
      <x:c r="D3" s="181" t="n">
        <x:v>0.01851620326925958</x:v>
      </x:c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78" t="str">
        <x:v>India</x:v>
      </x:c>
      <x:c r="B4" s="180" t="n">
        <x:v>533849</x:v>
      </x:c>
      <x:c r="C4" s="180" t="n">
        <x:v>45056221</x:v>
      </x:c>
      <x:c r="D4" s="181" t="n">
        <x:v>0.011848508111676743</x:v>
      </x:c>
      <x:c r="E4" s="178"/>
      <x:c r="F4" s="178"/>
      <x:c r="G4" s="178"/>
      <x:c r="H4" s="178"/>
      <x:c r="I4" s="178"/>
      <x:c r="J4" s="178"/>
      <x:c r="K4" s="178"/>
      <x:c r="L4" s="17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78" t="str">
        <x:v>Russian Federation</x:v>
      </x:c>
      <x:c r="B5" s="180" t="n">
        <x:v>404290</x:v>
      </x:c>
      <x:c r="C5" s="180" t="n">
        <x:v>24901467</x:v>
      </x:c>
      <x:c r="D5" s="181" t="n">
        <x:v>0.016235589654215954</x:v>
      </x:c>
      <x:c r="E5" s="178"/>
      <x:c r="F5" s="178"/>
      <x:c r="G5" s="178"/>
      <x:c r="H5" s="178"/>
      <x:c r="I5" s="178"/>
      <x:c r="J5" s="178"/>
      <x:c r="K5" s="178"/>
      <x:c r="L5" s="17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78" t="str">
        <x:v>Mexico</x:v>
      </x:c>
      <x:c r="B6" s="180" t="n">
        <x:v>335105</x:v>
      </x:c>
      <x:c r="C6" s="180" t="n">
        <x:v>7630014</x:v>
      </x:c>
      <x:c r="D6" s="181" t="n">
        <x:v>0.04391931653074293</x:v>
      </x:c>
      <x:c r="E6" s="178"/>
      <x:c r="F6" s="178"/>
      <x:c r="G6" s="178"/>
      <x:c r="H6" s="178"/>
      <x:c r="I6" s="178"/>
      <x:c r="J6" s="178"/>
      <x:c r="K6" s="178"/>
      <x:c r="L6" s="178"/>
      <x:c r="M6" s="178"/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78" t="str">
        <x:v>United Kingdom of Great Britain and Northern Ireland</x:v>
      </x:c>
      <x:c r="B7" s="180" t="n">
        <x:v>232112</x:v>
      </x:c>
      <x:c r="C7" s="180" t="n">
        <x:v>25116977</x:v>
      </x:c>
      <x:c r="D7" s="181" t="n">
        <x:v>0.009241239501075308</x:v>
      </x:c>
      <x:c r="E7" s="178"/>
      <x:c r="F7" s="178"/>
      <x:c r="G7" s="178"/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78" t="str">
        <x:v>Peru</x:v>
      </x:c>
      <x:c r="B8" s="180" t="n">
        <x:v>221071</x:v>
      </x:c>
      <x:c r="C8" s="180" t="n">
        <x:v>4533765</x:v>
      </x:c>
      <x:c r="D8" s="181" t="n">
        <x:v>0.04876101871182119</x:v>
      </x:c>
      <x:c r="E8" s="178"/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78" t="str">
        <x:v>Italy</x:v>
      </x:c>
      <x:c r="B9" s="180" t="n">
        <x:v>198523</x:v>
      </x:c>
      <x:c r="C9" s="180" t="n">
        <x:v>26969913</x:v>
      </x:c>
      <x:c r="D9" s="181" t="n">
        <x:v>0.007360906206853541</x:v>
      </x:c>
      <x:c r="E9" s="178"/>
      <x:c r="F9" s="178"/>
      <x:c r="G9" s="178"/>
      <x:c r="H9" s="178"/>
      <x:c r="I9" s="178"/>
      <x:c r="J9" s="178"/>
      <x:c r="K9" s="178"/>
      <x:c r="L9" s="178"/>
      <x:c r="M9" s="178"/>
      <x:c r="N9" s="17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78" t="str">
        <x:v>Germany</x:v>
      </x:c>
      <x:c r="B10" s="180" t="n">
        <x:v>174979</x:v>
      </x:c>
      <x:c r="C10" s="180" t="n">
        <x:v>38437953</x:v>
      </x:c>
      <x:c r="D10" s="181" t="n">
        <x:v>0.0045522455371127596</x:v>
      </x:c>
      <x:c r="E10" s="178"/>
      <x:c r="F10" s="178"/>
      <x:c r="G10" s="178"/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78" t="str">
        <x:v>France</x:v>
      </x:c>
      <x:c r="B11" s="180" t="n">
        <x:v>168207</x:v>
      </x:c>
      <x:c r="C11" s="180" t="n">
        <x:v>39060272</x:v>
      </x:c>
      <x:c r="D11" s="181" t="n">
        <x:v>0.004306344820128236</x:v>
      </x:c>
      <x:c r="E11" s="178"/>
      <x:c r="F11" s="178"/>
      <x:c r="G11" s="178"/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78"/>
      <x:c r="B12" s="178"/>
      <x:c r="C12" s="178"/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78"/>
      <x:c r="B13" s="178"/>
      <x:c r="C13" s="178"/>
      <x:c r="D13" s="178"/>
      <x:c r="E13" s="178"/>
      <x:c r="F13" s="178"/>
      <x:c r="G13" s="178"/>
      <x:c r="H13" s="178"/>
      <x:c r="I13" s="178"/>
      <x:c r="J13" s="178"/>
      <x:c r="K13" s="178"/>
      <x:c r="L13" s="178"/>
      <x:c r="M13" s="178"/>
      <x:c r="N13" s="178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78"/>
      <x:c r="B14" s="178"/>
      <x:c r="C14" s="178"/>
      <x:c r="D14" s="178"/>
      <x:c r="E14" s="178"/>
      <x:c r="F14" s="178"/>
      <x:c r="G14" s="178"/>
      <x:c r="H14" s="178"/>
      <x:c r="I14" s="178"/>
      <x:c r="J14" s="178"/>
      <x:c r="K14" s="178"/>
      <x:c r="L14" s="178"/>
      <x:c r="M14" s="178"/>
      <x:c r="N14" s="178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23" t="str">
        <x:v>WHO Region</x:v>
      </x:c>
      <x:c r="B15" s="23" t="str">
        <x:v>Total Deaths</x:v>
      </x:c>
      <x:c r="C15" s="23" t="str">
        <x:v>Total Cases</x:v>
      </x:c>
      <x:c r="D15" s="23" t="str">
        <x:v>CFR</x:v>
      </x:c>
      <x:c r="E15" s="178"/>
      <x:c r="F15" s="178"/>
      <x:c r="G15" s="178"/>
      <x:c r="H15" s="178"/>
      <x:c r="I15" s="178"/>
      <x:c r="J15" s="178"/>
      <x:c r="K15" s="178"/>
      <x:c r="L15" s="178"/>
      <x:c r="M15" s="178"/>
      <x:c r="N15" s="17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78" t="str">
        <x:v>AMRO</x:v>
      </x:c>
      <x:c r="B16" s="180" t="n">
        <x:v>3070541</x:v>
      </x:c>
      <x:c r="C16" s="180" t="n">
        <x:v>193320821</x:v>
      </x:c>
      <x:c r="D16" s="181" t="n">
        <x:v>0.015883136560857044</x:v>
      </x:c>
      <x:c r="E16" s="178"/>
      <x:c r="F16" s="178"/>
      <x:c r="G16" s="178"/>
      <x:c r="H16" s="178"/>
      <x:c r="I16" s="178"/>
      <x:c r="J16" s="178"/>
      <x:c r="K16" s="178"/>
      <x:c r="L16" s="178"/>
      <x:c r="M16" s="178"/>
      <x:c r="N16" s="17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78" t="str">
        <x:v>EURO</x:v>
      </x:c>
      <x:c r="B17" s="180" t="n">
        <x:v>2282540</x:v>
      </x:c>
      <x:c r="C17" s="180" t="n">
        <x:v>281542216</x:v>
      </x:c>
      <x:c r="D17" s="181" t="n">
        <x:v>0.008107274398948398</x:v>
      </x:c>
      <x:c r="E17" s="178"/>
      <x:c r="F17" s="178"/>
      <x:c r="G17" s="178"/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78" t="str">
        <x:v>SEARO</x:v>
      </x:c>
      <x:c r="B18" s="180" t="n">
        <x:v>809348</x:v>
      </x:c>
      <x:c r="C18" s="180" t="n">
        <x:v>61959507</x:v>
      </x:c>
      <x:c r="D18" s="181" t="n">
        <x:v>0.01306253130774588</x:v>
      </x:c>
      <x:c r="E18" s="178"/>
      <x:c r="F18" s="178"/>
      <x:c r="G18" s="178"/>
      <x:c r="H18" s="178"/>
      <x:c r="I18" s="178"/>
      <x:c r="J18" s="178"/>
      <x:c r="K18" s="178"/>
      <x:c r="L18" s="178"/>
      <x:c r="M18" s="178"/>
      <x:c r="N18" s="17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78" t="str">
        <x:v>WPRO</x:v>
      </x:c>
      <x:c r="B19" s="180" t="n">
        <x:v>421686</x:v>
      </x:c>
      <x:c r="C19" s="180" t="n">
        <x:v>208610782</x:v>
      </x:c>
      <x:c r="D19" s="181" t="n">
        <x:v>0.002021400792217921</x:v>
      </x:c>
      <x:c r="E19" s="178"/>
      <x:c r="F19" s="178"/>
      <x:c r="G19" s="178"/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78" t="str">
        <x:v>EMRO</x:v>
      </x:c>
      <x:c r="B20" s="180" t="n">
        <x:v>351975</x:v>
      </x:c>
      <x:c r="C20" s="180" t="n">
        <x:v>23417911</x:v>
      </x:c>
      <x:c r="D20" s="181" t="n">
        <x:v>0.015030162169460803</x:v>
      </x:c>
      <x:c r="E20" s="178"/>
      <x:c r="F20" s="178"/>
      <x:c r="G20" s="178"/>
      <x:c r="H20" s="178"/>
      <x:c r="I20" s="178"/>
      <x:c r="J20" s="178"/>
      <x:c r="K20" s="178"/>
      <x:c r="L20" s="178"/>
      <x:c r="M20" s="178"/>
      <x:c r="N20" s="17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78" t="str">
        <x:v>AFRO</x:v>
      </x:c>
      <x:c r="B21" s="180" t="n">
        <x:v>174424</x:v>
      </x:c>
      <x:c r="C21" s="180" t="n">
        <x:v>9051407</x:v>
      </x:c>
      <x:c r="D21" s="181" t="n">
        <x:v>0.01927037420812035</x:v>
      </x:c>
      <x:c r="E21" s="178"/>
      <x:c r="F21" s="178"/>
      <x:c r="G21" s="178"/>
      <x:c r="H21" s="178"/>
      <x:c r="I21" s="178"/>
      <x:c r="J21" s="178"/>
      <x:c r="K21" s="178"/>
      <x:c r="L21" s="178"/>
      <x:c r="M21" s="178"/>
      <x:c r="N21" s="17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78" t="str"/>
      <x:c r="B22" s="180" t="n">
        <x:v>4273</x:v>
      </x:c>
      <x:c r="C22" s="180" t="n">
        <x:v>1310210</x:v>
      </x:c>
      <x:c r="D22" s="181" t="n">
        <x:v>0.0032613092557681593</x:v>
      </x:c>
      <x:c r="E22" s="178"/>
      <x:c r="F22" s="178"/>
      <x:c r="G22" s="178"/>
      <x:c r="H22" s="178"/>
      <x:c r="I22" s="178"/>
      <x:c r="J22" s="178"/>
      <x:c r="K22" s="178"/>
      <x:c r="L22" s="178"/>
      <x:c r="M22" s="178"/>
      <x:c r="N22" s="17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78" t="str">
        <x:v>OTHER</x:v>
      </x:c>
      <x:c r="B23" s="180" t="n">
        <x:v>13</x:v>
      </x:c>
      <x:c r="C23" s="180" t="n">
        <x:v>764</x:v>
      </x:c>
      <x:c r="D23" s="181" t="n">
        <x:v>0.017015706806282723</x:v>
      </x:c>
      <x:c r="E23" s="178"/>
      <x:c r="F23" s="178"/>
      <x:c r="G23" s="178"/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78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  <x:c r="M24" s="178"/>
      <x:c r="N24" s="17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78"/>
      <x:c r="B25" s="178"/>
      <x:c r="C25" s="178"/>
      <x:c r="D25" s="178"/>
      <x:c r="E25" s="178"/>
      <x:c r="F25" s="178"/>
      <x:c r="G25" s="178"/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78"/>
      <x:c r="B26" s="178"/>
      <x:c r="C26" s="178"/>
      <x:c r="D26" s="178"/>
      <x:c r="E26" s="178"/>
      <x:c r="F26" s="178"/>
      <x:c r="G26" s="178"/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78"/>
      <x:c r="B27" s="178"/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78"/>
      <x:c r="B28" s="178"/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78"/>
      <x:c r="B29" s="178"/>
      <x:c r="C29" s="178"/>
      <x:c r="D29" s="178"/>
      <x:c r="E29" s="178"/>
      <x:c r="F29" s="178"/>
      <x:c r="G29" s="178"/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23" t="str">
        <x:v>Month</x:v>
      </x:c>
      <x:c r="B30" s="23" t="str">
        <x:v>Global New Cases</x:v>
      </x:c>
      <x:c r="C30" s="23" t="str">
        <x:v>Global New Deaths</x:v>
      </x:c>
      <x:c r="D30" s="178"/>
      <x:c r="E30" s="178"/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88" t="str">
        <x:v>Jan 2020</x:v>
      </x:c>
      <x:c r="B31" s="180" t="n">
        <x:v>2028</x:v>
      </x:c>
      <x:c r="C31" s="180" t="n">
        <x:v>62</x:v>
      </x:c>
      <x:c r="D31" s="178"/>
      <x:c r="E31" s="178"/>
      <x:c r="F31" s="178"/>
      <x:c r="G31" s="178"/>
      <x:c r="H31" s="178"/>
      <x:c r="I31" s="178"/>
      <x:c r="J31" s="178"/>
      <x:c r="K31" s="178"/>
      <x:c r="L31" s="178"/>
      <x:c r="M31" s="178"/>
      <x:c r="N31" s="17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88" t="str">
        <x:v>Feb 2020</x:v>
      </x:c>
      <x:c r="B32" s="180" t="n">
        <x:v>76897</x:v>
      </x:c>
      <x:c r="C32" s="180" t="n">
        <x:v>2411</x:v>
      </x:c>
      <x:c r="D32" s="178"/>
      <x:c r="E32" s="178"/>
      <x:c r="F32" s="178"/>
      <x:c r="G32" s="178"/>
      <x:c r="H32" s="178"/>
      <x:c r="I32" s="178"/>
      <x:c r="J32" s="178"/>
      <x:c r="K32" s="178"/>
      <x:c r="L32" s="178"/>
      <x:c r="M32" s="178"/>
      <x:c r="N32" s="17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88" t="str">
        <x:v>Mar 2020</x:v>
      </x:c>
      <x:c r="B33" s="180" t="n">
        <x:v>611739</x:v>
      </x:c>
      <x:c r="C33" s="180" t="n">
        <x:v>35807</x:v>
      </x:c>
      <x:c r="D33" s="178"/>
      <x:c r="E33" s="178"/>
      <x:c r="F33" s="178"/>
      <x:c r="G33" s="178"/>
      <x:c r="H33" s="178"/>
      <x:c r="I33" s="178"/>
      <x:c r="J33" s="178"/>
      <x:c r="K33" s="178"/>
      <x:c r="L33" s="178"/>
      <x:c r="M33" s="178"/>
      <x:c r="N33" s="17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88" t="str">
        <x:v>Apr 2020</x:v>
      </x:c>
      <x:c r="B34" s="180" t="n">
        <x:v>2037895</x:v>
      </x:c>
      <x:c r="C34" s="180" t="n">
        <x:v>178889</x:v>
      </x:c>
      <x:c r="D34" s="178"/>
      <x:c r="E34" s="178"/>
      <x:c r="F34" s="178"/>
      <x:c r="G34" s="178"/>
      <x:c r="H34" s="178"/>
      <x:c r="I34" s="178"/>
      <x:c r="J34" s="178"/>
      <x:c r="K34" s="178"/>
      <x:c r="L34" s="178"/>
      <x:c r="M34" s="178"/>
      <x:c r="N34" s="17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88" t="str">
        <x:v>May 2020</x:v>
      </x:c>
      <x:c r="B35" s="180" t="n">
        <x:v>3163480</x:v>
      </x:c>
      <x:c r="C35" s="180" t="n">
        <x:v>184334</x:v>
      </x:c>
      <x:c r="D35" s="178"/>
      <x:c r="E35" s="178"/>
      <x:c r="F35" s="178"/>
      <x:c r="G35" s="178"/>
      <x:c r="H35" s="178"/>
      <x:c r="I35" s="178"/>
      <x:c r="J35" s="178"/>
      <x:c r="K35" s="178"/>
      <x:c r="L35" s="178"/>
      <x:c r="M35" s="178"/>
      <x:c r="N35" s="17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88" t="str">
        <x:v>Jun 2020</x:v>
      </x:c>
      <x:c r="B36" s="180" t="n">
        <x:v>3936841</x:v>
      </x:c>
      <x:c r="C36" s="180" t="n">
        <x:v>144336</x:v>
      </x:c>
      <x:c r="D36" s="178"/>
      <x:c r="E36" s="178"/>
      <x:c r="F36" s="178"/>
      <x:c r="G36" s="178"/>
      <x:c r="H36" s="178"/>
      <x:c r="I36" s="178"/>
      <x:c r="J36" s="178"/>
      <x:c r="K36" s="178"/>
      <x:c r="L36" s="178"/>
      <x:c r="M36" s="178"/>
      <x:c r="N36" s="17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88" t="str">
        <x:v>Jul 2020</x:v>
      </x:c>
      <x:c r="B37" s="180" t="n">
        <x:v>6074723</x:v>
      </x:c>
      <x:c r="C37" s="180" t="n">
        <x:v>162506</x:v>
      </x:c>
      <x:c r="D37" s="178"/>
      <x:c r="E37" s="178"/>
      <x:c r="F37" s="178"/>
      <x:c r="G37" s="178"/>
      <x:c r="H37" s="178"/>
      <x:c r="I37" s="178"/>
      <x:c r="J37" s="178"/>
      <x:c r="K37" s="178"/>
      <x:c r="L37" s="178"/>
      <x:c r="M37" s="178"/>
      <x:c r="N37" s="17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88" t="str">
        <x:v>Aug 2020</x:v>
      </x:c>
      <x:c r="B38" s="180" t="n">
        <x:v>9261926</x:v>
      </x:c>
      <x:c r="C38" s="180" t="n">
        <x:v>219376</x:v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8"/>
      <x:c r="N38" s="17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88" t="str">
        <x:v>Sep 2020</x:v>
      </x:c>
      <x:c r="B39" s="180" t="n">
        <x:v>8141491</x:v>
      </x:c>
      <x:c r="C39" s="180" t="n">
        <x:v>160002</x:v>
      </x:c>
      <x:c r="D39" s="178"/>
      <x:c r="E39" s="178"/>
      <x:c r="F39" s="178"/>
      <x:c r="G39" s="178"/>
      <x:c r="H39" s="178"/>
      <x:c r="I39" s="178"/>
      <x:c r="J39" s="178"/>
      <x:c r="K39" s="178"/>
      <x:c r="L39" s="178"/>
      <x:c r="M39" s="178"/>
      <x:c r="N39" s="17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88" t="str">
        <x:v>Oct 2020</x:v>
      </x:c>
      <x:c r="B40" s="180" t="n">
        <x:v>10187460</x:v>
      </x:c>
      <x:c r="C40" s="180" t="n">
        <x:v>156799</x:v>
      </x:c>
      <x:c r="D40" s="178"/>
      <x:c r="E40" s="178"/>
      <x:c r="F40" s="178"/>
      <x:c r="G40" s="178"/>
      <x:c r="H40" s="178"/>
      <x:c r="I40" s="178"/>
      <x:c r="J40" s="178"/>
      <x:c r="K40" s="178"/>
      <x:c r="L40" s="178"/>
      <x:c r="M40" s="178"/>
      <x:c r="N40" s="17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88" t="str">
        <x:v>Nov 2020</x:v>
      </x:c>
      <x:c r="B41" s="180" t="n">
        <x:v>19566436</x:v>
      </x:c>
      <x:c r="C41" s="180" t="n">
        <x:v>323623</x:v>
      </x:c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8"/>
      <x:c r="N41" s="17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88" t="str">
        <x:v>Dec 2020</x:v>
      </x:c>
      <x:c r="B42" s="180" t="n">
        <x:v>17255874</x:v>
      </x:c>
      <x:c r="C42" s="180" t="n">
        <x:v>329388</x:v>
      </x:c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8"/>
      <x:c r="N42" s="17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88" t="str">
        <x:v>Jan 2021</x:v>
      </x:c>
      <x:c r="B43" s="180" t="n">
        <x:v>22070633</x:v>
      </x:c>
      <x:c r="C43" s="180" t="n">
        <x:v>484000</x:v>
      </x:c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8"/>
      <x:c r="N43" s="17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88" t="str">
        <x:v>Feb 2021</x:v>
      </x:c>
      <x:c r="B44" s="180" t="n">
        <x:v>11022033</x:v>
      </x:c>
      <x:c r="C44" s="180" t="n">
        <x:v>303230</x:v>
      </x:c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8"/>
      <x:c r="N44" s="17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88" t="str">
        <x:v>Mar 2021</x:v>
      </x:c>
      <x:c r="B45" s="180" t="n">
        <x:v>12861645</x:v>
      </x:c>
      <x:c r="C45" s="180" t="n">
        <x:v>253439</x:v>
      </x:c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8"/>
      <x:c r="N45" s="17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88" t="str">
        <x:v>Apr 2021</x:v>
      </x:c>
      <x:c r="B46" s="180" t="n">
        <x:v>19601774</x:v>
      </x:c>
      <x:c r="C46" s="180" t="n">
        <x:v>333155</x:v>
      </x:c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8"/>
      <x:c r="N46" s="17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88" t="str">
        <x:v>May 2021</x:v>
      </x:c>
      <x:c r="B47" s="180" t="n">
        <x:v>23733983</x:v>
      </x:c>
      <x:c r="C47" s="180" t="n">
        <x:v>440629</x:v>
      </x:c>
      <x:c r="D47" s="178"/>
      <x:c r="E47" s="178"/>
      <x:c r="F47" s="178"/>
      <x:c r="G47" s="178"/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88" t="str">
        <x:v>Jun 2021</x:v>
      </x:c>
      <x:c r="B48" s="180" t="n">
        <x:v>10822935</x:v>
      </x:c>
      <x:c r="C48" s="180" t="n">
        <x:v>258619</x:v>
      </x:c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8"/>
      <x:c r="N48" s="17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88" t="str">
        <x:v>Jul 2021</x:v>
      </x:c>
      <x:c r="B49" s="180" t="n">
        <x:v>13410750</x:v>
      </x:c>
      <x:c r="C49" s="180" t="n">
        <x:v>234213</x:v>
      </x:c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8"/>
      <x:c r="N49" s="17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88" t="str">
        <x:v>Aug 2021</x:v>
      </x:c>
      <x:c r="B50" s="180" t="n">
        <x:v>22253836</x:v>
      </x:c>
      <x:c r="C50" s="180" t="n">
        <x:v>345972</x:v>
      </x:c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8"/>
      <x:c r="N50" s="178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88" t="str">
        <x:v>Sep 2021</x:v>
      </x:c>
      <x:c r="B51" s="180" t="n">
        <x:v>15484337</x:v>
      </x:c>
      <x:c r="C51" s="180" t="n">
        <x:v>246781</x:v>
      </x:c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88" t="str">
        <x:v>Oct 2021</x:v>
      </x:c>
      <x:c r="B52" s="180" t="n">
        <x:v>15086099</x:v>
      </x:c>
      <x:c r="C52" s="180" t="n">
        <x:v>247084</x:v>
      </x:c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N52" s="178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88" t="str">
        <x:v>Nov 2021</x:v>
      </x:c>
      <x:c r="B53" s="180" t="n">
        <x:v>14569045</x:v>
      </x:c>
      <x:c r="C53" s="180" t="n">
        <x:v>204631</x:v>
      </x:c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8"/>
      <x:c r="N53" s="178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88" t="str">
        <x:v>Dec 2021</x:v>
      </x:c>
      <x:c r="B54" s="180" t="n">
        <x:v>19380554</x:v>
      </x:c>
      <x:c r="C54" s="180" t="n">
        <x:v>197605</x:v>
      </x:c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8"/>
      <x:c r="N54" s="178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88" t="str">
        <x:v>Jan 2022</x:v>
      </x:c>
      <x:c r="B55" s="180" t="n">
        <x:v>94694159</x:v>
      </x:c>
      <x:c r="C55" s="180" t="n">
        <x:v>268246</x:v>
      </x:c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88" t="str">
        <x:v>Feb 2022</x:v>
      </x:c>
      <x:c r="B56" s="180" t="n">
        <x:v>59761654</x:v>
      </x:c>
      <x:c r="C56" s="180" t="n">
        <x:v>281424</x:v>
      </x:c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88" t="str">
        <x:v>Mar 2022</x:v>
      </x:c>
      <x:c r="B57" s="180" t="n">
        <x:v>46082387</x:v>
      </x:c>
      <x:c r="C57" s="180" t="n">
        <x:v>175992</x:v>
      </x:c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88" t="str">
        <x:v>Apr 2022</x:v>
      </x:c>
      <x:c r="B58" s="180" t="n">
        <x:v>26970421</x:v>
      </x:c>
      <x:c r="C58" s="180" t="n">
        <x:v>85772</x:v>
      </x:c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88" t="str">
        <x:v>May 2022</x:v>
      </x:c>
      <x:c r="B59" s="180" t="n">
        <x:v>18751417</x:v>
      </x:c>
      <x:c r="C59" s="180" t="n">
        <x:v>61087</x:v>
      </x:c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88" t="str">
        <x:v>Jun 2022</x:v>
      </x:c>
      <x:c r="B60" s="180" t="n">
        <x:v>15145267</x:v>
      </x:c>
      <x:c r="C60" s="180" t="n">
        <x:v>37894</x:v>
      </x:c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88" t="str">
        <x:v>Jul 2022</x:v>
      </x:c>
      <x:c r="B61" s="180" t="n">
        <x:v>32981058</x:v>
      </x:c>
      <x:c r="C61" s="180" t="n">
        <x:v>72771</x:v>
      </x:c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88" t="str">
        <x:v>Aug 2022</x:v>
      </x:c>
      <x:c r="B62" s="180" t="n">
        <x:v>22850430</x:v>
      </x:c>
      <x:c r="C62" s="180" t="n">
        <x:v>65628</x:v>
      </x:c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88" t="str">
        <x:v>Sep 2022</x:v>
      </x:c>
      <x:c r="B63" s="180" t="n">
        <x:v>14173487</x:v>
      </x:c>
      <x:c r="C63" s="180" t="n">
        <x:v>46160</x:v>
      </x:c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88" t="str">
        <x:v>Oct 2022</x:v>
      </x:c>
      <x:c r="B64" s="180" t="n">
        <x:v>15057500</x:v>
      </x:c>
      <x:c r="C64" s="180" t="n">
        <x:v>55618</x:v>
      </x:c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88" t="str">
        <x:v>Nov 2022</x:v>
      </x:c>
      <x:c r="B65" s="180" t="n">
        <x:v>10483494</x:v>
      </x:c>
      <x:c r="C65" s="180" t="n">
        <x:v>40252</x:v>
      </x:c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88" t="str">
        <x:v>Dec 2022</x:v>
      </x:c>
      <x:c r="B66" s="180" t="n">
        <x:v>67065915</x:v>
      </x:c>
      <x:c r="C66" s="180" t="n">
        <x:v>57961</x:v>
      </x:c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88" t="str">
        <x:v>Jan 2023</x:v>
      </x:c>
      <x:c r="B67" s="180" t="n">
        <x:v>47674052</x:v>
      </x:c>
      <x:c r="C67" s="180" t="n">
        <x:v>85959</x:v>
      </x:c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88" t="str">
        <x:v>Feb 2023</x:v>
      </x:c>
      <x:c r="B68" s="180" t="n">
        <x:v>4851694</x:v>
      </x:c>
      <x:c r="C68" s="180" t="n">
        <x:v>96106</x:v>
      </x:c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88" t="str">
        <x:v>Mar 2023</x:v>
      </x:c>
      <x:c r="B69" s="180" t="n">
        <x:v>3635718</x:v>
      </x:c>
      <x:c r="C69" s="180" t="n">
        <x:v>26682</x:v>
      </x:c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88" t="str">
        <x:v>Apr 2023</x:v>
      </x:c>
      <x:c r="B70" s="180" t="n">
        <x:v>3617660</x:v>
      </x:c>
      <x:c r="C70" s="180" t="n">
        <x:v>23409</x:v>
      </x:c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88" t="str">
        <x:v>May 2023</x:v>
      </x:c>
      <x:c r="B71" s="180" t="n">
        <x:v>1895281</x:v>
      </x:c>
      <x:c r="C71" s="180" t="n">
        <x:v>15373</x:v>
      </x:c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88" t="str">
        <x:v>Jun 2023</x:v>
      </x:c>
      <x:c r="B72" s="180" t="n">
        <x:v>918508</x:v>
      </x:c>
      <x:c r="C72" s="180" t="n">
        <x:v>8226</x:v>
      </x:c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88" t="str">
        <x:v>Jul 2023</x:v>
      </x:c>
      <x:c r="B73" s="180" t="n">
        <x:v>1127474</x:v>
      </x:c>
      <x:c r="C73" s="180" t="n">
        <x:v>5187</x:v>
      </x:c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88" t="str">
        <x:v>Aug 2023</x:v>
      </x:c>
      <x:c r="B74" s="180" t="n">
        <x:v>1471067</x:v>
      </x:c>
      <x:c r="C74" s="180" t="n">
        <x:v>6596</x:v>
      </x:c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88" t="str">
        <x:v>Sep 2023</x:v>
      </x:c>
      <x:c r="B75" s="180" t="n">
        <x:v>830746</x:v>
      </x:c>
      <x:c r="C75" s="180" t="n">
        <x:v>8829</x:v>
      </x:c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88" t="str">
        <x:v>Oct 2023</x:v>
      </x:c>
      <x:c r="B76" s="180" t="n">
        <x:v>758734</x:v>
      </x:c>
      <x:c r="C76" s="180" t="n">
        <x:v>13992</x:v>
      </x:c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88" t="str">
        <x:v>Nov 2023</x:v>
      </x:c>
      <x:c r="B77" s="180" t="n">
        <x:v>761285</x:v>
      </x:c>
      <x:c r="C77" s="180" t="n">
        <x:v>10557</x:v>
      </x:c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88" t="str">
        <x:v>Dec 2023</x:v>
      </x:c>
      <x:c r="B78" s="180" t="n">
        <x:v>1624618</x:v>
      </x:c>
      <x:c r="C78" s="180" t="n">
        <x:v>17653</x:v>
      </x:c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88" t="str">
        <x:v>Jan 2024</x:v>
      </x:c>
      <x:c r="B79" s="180" t="n">
        <x:v>645238</x:v>
      </x:c>
      <x:c r="C79" s="180" t="n">
        <x:v>14874</x:v>
      </x:c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88" t="str">
        <x:v>Feb 2024</x:v>
      </x:c>
      <x:c r="B80" s="180" t="n">
        <x:v>345190</x:v>
      </x:c>
      <x:c r="C80" s="180" t="n">
        <x:v>8372</x:v>
      </x:c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88" t="str">
        <x:v>Mar 2024</x:v>
      </x:c>
      <x:c r="B81" s="180" t="n">
        <x:v>355899</x:v>
      </x:c>
      <x:c r="C81" s="180" t="n">
        <x:v>6787</x:v>
      </x:c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88" t="str">
        <x:v>Apr 2024</x:v>
      </x:c>
      <x:c r="B82" s="180" t="n">
        <x:v>147593</x:v>
      </x:c>
      <x:c r="C82" s="180" t="n">
        <x:v>3116</x:v>
      </x:c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88" t="str">
        <x:v>May 2024</x:v>
      </x:c>
      <x:c r="B83" s="180" t="n">
        <x:v>137337</x:v>
      </x:c>
      <x:c r="C83" s="180" t="n">
        <x:v>2176</x:v>
      </x:c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88" t="str">
        <x:v>Jun 2024</x:v>
      </x:c>
      <x:c r="B84" s="180" t="n">
        <x:v>198917</x:v>
      </x:c>
      <x:c r="C84" s="180" t="n">
        <x:v>3012</x:v>
      </x:c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88" t="str">
        <x:v>Jul 2024</x:v>
      </x:c>
      <x:c r="B85" s="180" t="n">
        <x:v>218595</x:v>
      </x:c>
      <x:c r="C85" s="180" t="n">
        <x:v>4016</x:v>
      </x:c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88" t="str">
        <x:v>Aug 2024</x:v>
      </x:c>
      <x:c r="B86" s="180" t="n">
        <x:v>267845</x:v>
      </x:c>
      <x:c r="C86" s="180" t="n">
        <x:v>5856</x:v>
      </x:c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88" t="str">
        <x:v>Sep 2024</x:v>
      </x:c>
      <x:c r="B87" s="180" t="n">
        <x:v>445098</x:v>
      </x:c>
      <x:c r="C87" s="180" t="n">
        <x:v>7681</x:v>
      </x:c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88" t="str">
        <x:v>Oct 2024</x:v>
      </x:c>
      <x:c r="B88" s="180" t="n">
        <x:v>309698</x:v>
      </x:c>
      <x:c r="C88" s="180" t="n">
        <x:v>4675</x:v>
      </x:c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88" t="str">
        <x:v>Nov 2024</x:v>
      </x:c>
      <x:c r="B89" s="180" t="n">
        <x:v>196531</x:v>
      </x:c>
      <x:c r="C89" s="180" t="n">
        <x:v>3332</x:v>
      </x:c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88" t="str">
        <x:v>Dec 2024</x:v>
      </x:c>
      <x:c r="B90" s="180" t="n">
        <x:v>248668</x:v>
      </x:c>
      <x:c r="C90" s="180" t="n">
        <x:v>3962</x:v>
      </x:c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88" t="str">
        <x:v>Jan 2025</x:v>
      </x:c>
      <x:c r="B91" s="180" t="n">
        <x:v>173402</x:v>
      </x:c>
      <x:c r="C91" s="180" t="n">
        <x:v>5119</x:v>
      </x:c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88" t="str">
        <x:v>Feb 2025</x:v>
      </x:c>
      <x:c r="B92" s="180" t="n">
        <x:v>151120</x:v>
      </x:c>
      <x:c r="C92" s="180" t="n">
        <x:v>3902</x:v>
      </x:c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88" t="str">
        <x:v>Mar 2025</x:v>
      </x:c>
      <x:c r="B93" s="180" t="n">
        <x:v>94691</x:v>
      </x:c>
      <x:c r="C93" s="180" t="n">
        <x:v>3297</x:v>
      </x:c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88" t="str">
        <x:v>Apr 2025</x:v>
      </x:c>
      <x:c r="B94" s="180" t="n">
        <x:v>45562</x:v>
      </x:c>
      <x:c r="C94" s="180" t="n">
        <x:v>1757</x:v>
      </x:c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88" t="str">
        <x:v>May 2025</x:v>
      </x:c>
      <x:c r="B95" s="180" t="n">
        <x:v>238751</x:v>
      </x:c>
      <x:c r="C95" s="180" t="n">
        <x:v>1237</x:v>
      </x:c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88" t="str">
        <x:v>Jun 2025</x:v>
      </x:c>
      <x:c r="B96" s="180" t="n">
        <x:v>372995</x:v>
      </x:c>
      <x:c r="C96" s="180" t="n">
        <x:v>1521</x:v>
      </x:c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88" t="str">
        <x:v>Jul 2025</x:v>
      </x:c>
      <x:c r="B97" s="180" t="n">
        <x:v>81408</x:v>
      </x:c>
      <x:c r="C97" s="180" t="n">
        <x:v>1060</x:v>
      </x:c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88" t="str">
        <x:v>Aug 2025</x:v>
      </x:c>
      <x:c r="B98" s="180" t="n">
        <x:v>114214</x:v>
      </x:c>
      <x:c r="C98" s="180" t="n">
        <x:v>1916</x:v>
      </x:c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88" t="str">
        <x:v>Sep 2025</x:v>
      </x:c>
      <x:c r="B99" s="180" t="n">
        <x:v>157271</x:v>
      </x:c>
      <x:c r="C99" s="180" t="n">
        <x:v>2295</x:v>
      </x:c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88" t="str">
        <x:v>Oct 2025</x:v>
      </x:c>
      <x:c r="B100" s="180" t="n">
        <x:v>144451</x:v>
      </x:c>
      <x:c r="C100" s="180" t="n">
        <x:v>1754</x:v>
      </x:c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88" t="str">
        <x:v>Nov 2025</x:v>
      </x:c>
      <x:c r="B101" s="180" t="n">
        <x:v>103836</x:v>
      </x:c>
      <x:c r="C101" s="180" t="n">
        <x:v>1456</x:v>
      </x:c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88" t="str">
        <x:v>Dec 2025</x:v>
      </x:c>
      <x:c r="B102" s="180" t="n">
        <x:v>59241</x:v>
      </x:c>
      <x:c r="C102" s="180" t="n">
        <x:v>1332</x:v>
      </x:c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88" t="str">
        <x:v>Jan 2026</x:v>
      </x:c>
      <x:c r="B103" s="180" t="n">
        <x:v>48124</x:v>
      </x:c>
      <x:c r="C103" s="180" t="n">
        <x:v>2179</x:v>
      </x:c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88" t="str">
        <x:v>Feb 2026</x:v>
      </x:c>
      <x:c r="B104" s="180" t="n">
        <x:v>53248</x:v>
      </x:c>
      <x:c r="C104" s="180" t="n">
        <x:v>1793</x:v>
      </x:c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88" t="str">
        <x:v>Mar 2026</x:v>
      </x:c>
      <x:c r="B105" s="180" t="n">
        <x:v>46211</x:v>
      </x:c>
      <x:c r="C105" s="180" t="n">
        <x:v>1472</x:v>
      </x:c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88" t="str">
        <x:v>Apr 2026</x:v>
      </x:c>
      <x:c r="B106" s="180" t="n">
        <x:v>14044</x:v>
      </x:c>
      <x:c r="C106" s="180" t="n">
        <x:v>586</x:v>
      </x:c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23" t="str">
        <x:v>Month</x:v>
      </x:c>
      <x:c r="B115" s="23" t="str">
        <x:v>Zimbabwe New Cases</x:v>
      </x:c>
      <x:c r="C115" s="23" t="str">
        <x:v>Zimbabwe New Deaths</x:v>
      </x:c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88" t="str">
        <x:v>Jan 2020</x:v>
      </x:c>
      <x:c r="B116" s="180" t="n">
        <x:v>0</x:v>
      </x:c>
      <x:c r="C116" s="180" t="n">
        <x:v>0</x:v>
      </x:c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88" t="str">
        <x:v>Feb 2020</x:v>
      </x:c>
      <x:c r="B117" s="180" t="n">
        <x:v>0</x:v>
      </x:c>
      <x:c r="C117" s="180" t="n">
        <x:v>0</x:v>
      </x:c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88" t="str">
        <x:v>Mar 2020</x:v>
      </x:c>
      <x:c r="B118" s="180" t="n">
        <x:v>7</x:v>
      </x:c>
      <x:c r="C118" s="180" t="n">
        <x:v>6</x:v>
      </x:c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88" t="str">
        <x:v>Apr 2020</x:v>
      </x:c>
      <x:c r="B119" s="180" t="n">
        <x:v>25</x:v>
      </x:c>
      <x:c r="C119" s="180" t="n">
        <x:v>2</x:v>
      </x:c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88" t="str">
        <x:v>May 2020</x:v>
      </x:c>
      <x:c r="B120" s="180" t="n">
        <x:v>141</x:v>
      </x:c>
      <x:c r="C120" s="180" t="n">
        <x:v>0</x:v>
      </x:c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88" t="str">
        <x:v>Jun 2020</x:v>
      </x:c>
      <x:c r="B121" s="180" t="n">
        <x:v>394</x:v>
      </x:c>
      <x:c r="C121" s="180" t="n">
        <x:v>2</x:v>
      </x:c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88" t="str">
        <x:v>Jul 2020</x:v>
      </x:c>
      <x:c r="B122" s="180" t="n">
        <x:v>1867</x:v>
      </x:c>
      <x:c r="C122" s="180" t="n">
        <x:v>28</x:v>
      </x:c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88" t="str">
        <x:v>Aug 2020</x:v>
      </x:c>
      <x:c r="B123" s="180" t="n">
        <x:v>3972</x:v>
      </x:c>
      <x:c r="C123" s="180" t="n">
        <x:v>160</x:v>
      </x:c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88" t="str">
        <x:v>Sep 2020</x:v>
      </x:c>
      <x:c r="B124" s="180" t="n">
        <x:v>1397</x:v>
      </x:c>
      <x:c r="C124" s="180" t="n">
        <x:v>30</x:v>
      </x:c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88" t="str">
        <x:v>Oct 2020</x:v>
      </x:c>
      <x:c r="B125" s="180" t="n">
        <x:v>466</x:v>
      </x:c>
      <x:c r="C125" s="180" t="n">
        <x:v>9</x:v>
      </x:c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88" t="str">
        <x:v>Nov 2020</x:v>
      </x:c>
      <x:c r="B126" s="180" t="n">
        <x:v>1553</x:v>
      </x:c>
      <x:c r="C126" s="180" t="n">
        <x:v>38</x:v>
      </x:c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88" t="str">
        <x:v>Dec 2020</x:v>
      </x:c>
      <x:c r="B127" s="180" t="n">
        <x:v>3141</x:v>
      </x:c>
      <x:c r="C127" s="180" t="n">
        <x:v>66</x:v>
      </x:c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88" t="str">
        <x:v>Jan 2021</x:v>
      </x:c>
      <x:c r="B128" s="180" t="n">
        <x:v>20308</x:v>
      </x:c>
      <x:c r="C128" s="180" t="n">
        <x:v>852</x:v>
      </x:c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88" t="str">
        <x:v>Feb 2021</x:v>
      </x:c>
      <x:c r="B129" s="180" t="n">
        <x:v>2787</x:v>
      </x:c>
      <x:c r="C129" s="180" t="n">
        <x:v>270</x:v>
      </x:c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88" t="str">
        <x:v>Mar 2021</x:v>
      </x:c>
      <x:c r="B130" s="180" t="n">
        <x:v>760</x:v>
      </x:c>
      <x:c r="C130" s="180" t="n">
        <x:v>56</x:v>
      </x:c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88" t="str">
        <x:v>Apr 2021</x:v>
      </x:c>
      <x:c r="B131" s="180" t="n">
        <x:v>1246</x:v>
      </x:c>
      <x:c r="C131" s="180" t="n">
        <x:v>37</x:v>
      </x:c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88" t="str">
        <x:v>May 2021</x:v>
      </x:c>
      <x:c r="B132" s="180" t="n">
        <x:v>869</x:v>
      </x:c>
      <x:c r="C132" s="180" t="n">
        <x:v>38</x:v>
      </x:c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88" t="str">
        <x:v>Jun 2021</x:v>
      </x:c>
      <x:c r="B133" s="180" t="n">
        <x:v>7085</x:v>
      </x:c>
      <x:c r="C133" s="180" t="n">
        <x:v>131</x:v>
      </x:c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88" t="str">
        <x:v>Jul 2021</x:v>
      </x:c>
      <x:c r="B134" s="180" t="n">
        <x:v>51259</x:v>
      </x:c>
      <x:c r="C134" s="180" t="n">
        <x:v>1325</x:v>
      </x:c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88" t="str">
        <x:v>Aug 2021</x:v>
      </x:c>
      <x:c r="B135" s="180" t="n">
        <x:v>27090</x:v>
      </x:c>
      <x:c r="C135" s="180" t="n">
        <x:v>1340</x:v>
      </x:c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88" t="str">
        <x:v>Sep 2021</x:v>
      </x:c>
      <x:c r="B136" s="180" t="n">
        <x:v>5138</x:v>
      </x:c>
      <x:c r="C136" s="180" t="n">
        <x:v>213</x:v>
      </x:c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88" t="str">
        <x:v>Oct 2021</x:v>
      </x:c>
      <x:c r="B137" s="180" t="n">
        <x:v>3449</x:v>
      </x:c>
      <x:c r="C137" s="180" t="n">
        <x:v>74</x:v>
      </x:c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88" t="str">
        <x:v>Nov 2021</x:v>
      </x:c>
      <x:c r="B138" s="180" t="n">
        <x:v>997</x:v>
      </x:c>
      <x:c r="C138" s="180" t="n">
        <x:v>28</x:v>
      </x:c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88" t="str">
        <x:v>Dec 2021</x:v>
      </x:c>
      <x:c r="B139" s="180" t="n">
        <x:v>69795</x:v>
      </x:c>
      <x:c r="C139" s="180" t="n">
        <x:v>180</x:v>
      </x:c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88" t="str">
        <x:v>Jan 2022</x:v>
      </x:c>
      <x:c r="B140" s="180" t="n">
        <x:v>25669</x:v>
      </x:c>
      <x:c r="C140" s="180" t="n">
        <x:v>448</x:v>
      </x:c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88" t="str">
        <x:v>Feb 2022</x:v>
      </x:c>
      <x:c r="B141" s="180" t="n">
        <x:v>6388</x:v>
      </x:c>
      <x:c r="C141" s="180" t="n">
        <x:v>60</x:v>
      </x:c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88" t="str">
        <x:v>Mar 2022</x:v>
      </x:c>
      <x:c r="B142" s="180" t="n">
        <x:v>9964</x:v>
      </x:c>
      <x:c r="C142" s="180" t="n">
        <x:v>44</x:v>
      </x:c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88" t="str">
        <x:v>Apr 2022</x:v>
      </x:c>
      <x:c r="B143" s="180" t="n">
        <x:v>1757</x:v>
      </x:c>
      <x:c r="C143" s="180" t="n">
        <x:v>31</x:v>
      </x:c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88" t="str">
        <x:v>May 2022</x:v>
      </x:c>
      <x:c r="B144" s="180" t="n">
        <x:v>4568</x:v>
      </x:c>
      <x:c r="C144" s="180" t="n">
        <x:v>32</x:v>
      </x:c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88" t="str">
        <x:v>Jun 2022</x:v>
      </x:c>
      <x:c r="B145" s="180" t="n">
        <x:v>3263</x:v>
      </x:c>
      <x:c r="C145" s="180" t="n">
        <x:v>49</x:v>
      </x:c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88" t="str">
        <x:v>Jul 2022</x:v>
      </x:c>
      <x:c r="B146" s="180" t="n">
        <x:v>1023</x:v>
      </x:c>
      <x:c r="C146" s="180" t="n">
        <x:v>28</x:v>
      </x:c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88" t="str">
        <x:v>Aug 2022</x:v>
      </x:c>
      <x:c r="B147" s="180" t="n">
        <x:v>321</x:v>
      </x:c>
      <x:c r="C147" s="180" t="n">
        <x:v>16</x:v>
      </x:c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88" t="str">
        <x:v>Sep 2022</x:v>
      </x:c>
      <x:c r="B148" s="180" t="n">
        <x:v>641</x:v>
      </x:c>
      <x:c r="C148" s="180" t="n">
        <x:v>6</x:v>
      </x:c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88" t="str">
        <x:v>Oct 2022</x:v>
      </x:c>
      <x:c r="B149" s="180" t="n">
        <x:v>697</x:v>
      </x:c>
      <x:c r="C149" s="180" t="n">
        <x:v>11</x:v>
      </x:c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88" t="str">
        <x:v>Nov 2022</x:v>
      </x:c>
      <x:c r="B150" s="180" t="n">
        <x:v>917</x:v>
      </x:c>
      <x:c r="C150" s="180" t="n">
        <x:v>6</x:v>
      </x:c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88" t="str">
        <x:v>Dec 2022</x:v>
      </x:c>
      <x:c r="B151" s="180" t="n">
        <x:v>990</x:v>
      </x:c>
      <x:c r="C151" s="180" t="n">
        <x:v>19</x:v>
      </x:c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88" t="str">
        <x:v>Jan 2023</x:v>
      </x:c>
      <x:c r="B152" s="180" t="n">
        <x:v>2358</x:v>
      </x:c>
      <x:c r="C152" s="180" t="n">
        <x:v>23</x:v>
      </x:c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88" t="str">
        <x:v>Feb 2023</x:v>
      </x:c>
      <x:c r="B153" s="180" t="n">
        <x:v>1806</x:v>
      </x:c>
      <x:c r="C153" s="180" t="n">
        <x:v>10</x:v>
      </x:c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88" t="str">
        <x:v>Mar 2023</x:v>
      </x:c>
      <x:c r="B154" s="180" t="n">
        <x:v>401</x:v>
      </x:c>
      <x:c r="C154" s="180" t="n">
        <x:v>11</x:v>
      </x:c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88" t="str">
        <x:v>Apr 2023</x:v>
      </x:c>
      <x:c r="B155" s="180" t="n">
        <x:v>174</x:v>
      </x:c>
      <x:c r="C155" s="180" t="n">
        <x:v>7</x:v>
      </x:c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88" t="str">
        <x:v>May 2023</x:v>
      </x:c>
      <x:c r="B156" s="180" t="n">
        <x:v>340</x:v>
      </x:c>
      <x:c r="C156" s="180" t="n">
        <x:v>7</x:v>
      </x:c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88" t="str">
        <x:v>Jun 2023</x:v>
      </x:c>
      <x:c r="B157" s="180" t="n">
        <x:v>390</x:v>
      </x:c>
      <x:c r="C157" s="180" t="n">
        <x:v>14</x:v>
      </x:c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88" t="str">
        <x:v>Jul 2023</x:v>
      </x:c>
      <x:c r="B158" s="180" t="n">
        <x:v>280</x:v>
      </x:c>
      <x:c r="C158" s="180" t="n">
        <x:v>5</x:v>
      </x:c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88" t="str">
        <x:v>Aug 2023</x:v>
      </x:c>
      <x:c r="B159" s="180" t="n">
        <x:v>38</x:v>
      </x:c>
      <x:c r="C159" s="180" t="n">
        <x:v>5</x:v>
      </x:c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88" t="str">
        <x:v>Sep 2023</x:v>
      </x:c>
      <x:c r="B160" s="180" t="n">
        <x:v>22</x:v>
      </x:c>
      <x:c r="C160" s="180" t="n">
        <x:v>1</x:v>
      </x:c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88" t="str">
        <x:v>Oct 2023</x:v>
      </x:c>
      <x:c r="B161" s="180" t="n">
        <x:v>94</x:v>
      </x:c>
      <x:c r="C161" s="180" t="n">
        <x:v>3</x:v>
      </x:c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88" t="str">
        <x:v>Nov 2023</x:v>
      </x:c>
      <x:c r="B162" s="180" t="n">
        <x:v>128</x:v>
      </x:c>
      <x:c r="C162" s="180" t="n">
        <x:v>9</x:v>
      </x:c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88" t="str">
        <x:v>Dec 2023</x:v>
      </x:c>
      <x:c r="B163" s="180" t="n">
        <x:v>96</x:v>
      </x:c>
      <x:c r="C163" s="180" t="n">
        <x:v>1</x:v>
      </x:c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88" t="str">
        <x:v>Jan 2024</x:v>
      </x:c>
      <x:c r="B164" s="180" t="n">
        <x:v>217</x:v>
      </x:c>
      <x:c r="C164" s="180" t="n">
        <x:v>6</x:v>
      </x:c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88" t="str">
        <x:v>Feb 2024</x:v>
      </x:c>
      <x:c r="B165" s="180" t="n">
        <x:v>67</x:v>
      </x:c>
      <x:c r="C165" s="180" t="n">
        <x:v>2</x:v>
      </x:c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88" t="str">
        <x:v>Mar 2024</x:v>
      </x:c>
      <x:c r="B166" s="180" t="n">
        <x:v>7</x:v>
      </x:c>
      <x:c r="C166" s="180" t="n">
        <x:v>1</x:v>
      </x:c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88" t="str">
        <x:v>Apr 2024</x:v>
      </x:c>
      <x:c r="B167" s="180" t="n">
        <x:v>3</x:v>
      </x:c>
      <x:c r="C167" s="180" t="n">
        <x:v>0</x:v>
      </x:c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88" t="str">
        <x:v>May 2024</x:v>
      </x:c>
      <x:c r="B168" s="180" t="n">
        <x:v>0</x:v>
      </x:c>
      <x:c r="C168" s="180" t="n">
        <x:v>0</x:v>
      </x:c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88" t="str">
        <x:v>Jun 2024</x:v>
      </x:c>
      <x:c r="B169" s="180" t="n">
        <x:v>13</x:v>
      </x:c>
      <x:c r="C169" s="180" t="n">
        <x:v>0</x:v>
      </x:c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88" t="str">
        <x:v>Jul 2024</x:v>
      </x:c>
      <x:c r="B170" s="180" t="n">
        <x:v>8</x:v>
      </x:c>
      <x:c r="C170" s="180" t="n">
        <x:v>0</x:v>
      </x:c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88" t="str">
        <x:v>Aug 2024</x:v>
      </x:c>
      <x:c r="B171" s="180" t="n">
        <x:v>1</x:v>
      </x:c>
      <x:c r="C171" s="180" t="n">
        <x:v>0</x:v>
      </x:c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88" t="str">
        <x:v>Sep 2024</x:v>
      </x:c>
      <x:c r="B172" s="180" t="n">
        <x:v>6</x:v>
      </x:c>
      <x:c r="C172" s="180" t="n">
        <x:v>0</x:v>
      </x:c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88" t="str">
        <x:v>Oct 2024</x:v>
      </x:c>
      <x:c r="B173" s="180" t="n">
        <x:v>3</x:v>
      </x:c>
      <x:c r="C173" s="180" t="n">
        <x:v>0</x:v>
      </x:c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88" t="str">
        <x:v>Nov 2024</x:v>
      </x:c>
      <x:c r="B174" s="180" t="n">
        <x:v>0</x:v>
      </x:c>
      <x:c r="C174" s="180" t="n">
        <x:v>0</x:v>
      </x:c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88" t="str">
        <x:v>Dec 2024</x:v>
      </x:c>
      <x:c r="B175" s="180" t="n">
        <x:v>5</x:v>
      </x:c>
      <x:c r="C175" s="180" t="n">
        <x:v>0</x:v>
      </x:c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88" t="str">
        <x:v>Jan 2025</x:v>
      </x:c>
      <x:c r="B176" s="180" t="n">
        <x:v>3</x:v>
      </x:c>
      <x:c r="C176" s="180" t="n">
        <x:v>0</x:v>
      </x:c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88" t="str">
        <x:v>Feb 2025</x:v>
      </x:c>
      <x:c r="B177" s="180" t="n">
        <x:v>6</x:v>
      </x:c>
      <x:c r="C177" s="180" t="n">
        <x:v>0</x:v>
      </x:c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88" t="str">
        <x:v>Mar 2025</x:v>
      </x:c>
      <x:c r="B178" s="180" t="n">
        <x:v>9</x:v>
      </x:c>
      <x:c r="C178" s="180" t="n">
        <x:v>0</x:v>
      </x:c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88" t="str">
        <x:v>Apr 2025</x:v>
      </x:c>
      <x:c r="B179" s="180" t="n">
        <x:v>5</x:v>
      </x:c>
      <x:c r="C179" s="180" t="n">
        <x:v>0</x:v>
      </x:c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88" t="str">
        <x:v>May 2025</x:v>
      </x:c>
      <x:c r="B180" s="180" t="n">
        <x:v>1</x:v>
      </x:c>
      <x:c r="C180" s="180" t="n">
        <x:v>0</x:v>
      </x:c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88" t="str">
        <x:v>Jun 2025</x:v>
      </x:c>
      <x:c r="B181" s="180" t="n">
        <x:v>7</x:v>
      </x:c>
      <x:c r="C181" s="180" t="n">
        <x:v>0</x:v>
      </x:c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88" t="str">
        <x:v>Jul 2025</x:v>
      </x:c>
      <x:c r="B182" s="180" t="n">
        <x:v>4</x:v>
      </x:c>
      <x:c r="C182" s="180" t="n">
        <x:v>0</x:v>
      </x:c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88" t="str">
        <x:v>Aug 2025</x:v>
      </x:c>
      <x:c r="B183" s="180" t="n">
        <x:v>0</x:v>
      </x:c>
      <x:c r="C183" s="180" t="n">
        <x:v>0</x:v>
      </x:c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88" t="str">
        <x:v>Sep 2025</x:v>
      </x:c>
      <x:c r="B184" s="180" t="n">
        <x:v>0</x:v>
      </x:c>
      <x:c r="C184" s="180" t="n">
        <x:v>0</x:v>
      </x:c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88" t="str">
        <x:v>Oct 2025</x:v>
      </x:c>
      <x:c r="B185" s="180" t="n">
        <x:v>0</x:v>
      </x:c>
      <x:c r="C185" s="180" t="n">
        <x:v>0</x:v>
      </x:c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88" t="str">
        <x:v>Nov 2025</x:v>
      </x:c>
      <x:c r="B186" s="180" t="n">
        <x:v>0</x:v>
      </x:c>
      <x:c r="C186" s="180" t="n">
        <x:v>0</x:v>
      </x:c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88" t="str">
        <x:v>Dec 2025</x:v>
      </x:c>
      <x:c r="B187" s="180" t="n">
        <x:v>0</x:v>
      </x:c>
      <x:c r="C187" s="180" t="n">
        <x:v>0</x:v>
      </x:c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88" t="str">
        <x:v>Jan 2026</x:v>
      </x:c>
      <x:c r="B188" s="180" t="n">
        <x:v>0</x:v>
      </x:c>
      <x:c r="C188" s="180" t="n">
        <x:v>0</x:v>
      </x:c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88" t="str">
        <x:v>Feb 2026</x:v>
      </x:c>
      <x:c r="B189" s="180" t="n">
        <x:v>0</x:v>
      </x:c>
      <x:c r="C189" s="180" t="n">
        <x:v>0</x:v>
      </x:c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88" t="str">
        <x:v>Mar 2026</x:v>
      </x:c>
      <x:c r="B190" s="180" t="n">
        <x:v>0</x:v>
      </x:c>
      <x:c r="C190" s="180" t="n">
        <x:v>0</x:v>
      </x:c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88" t="str">
        <x:v>Apr 2026</x:v>
      </x:c>
      <x:c r="B191" s="180" t="n">
        <x:v>0</x:v>
      </x:c>
      <x:c r="C191" s="180" t="n">
        <x:v>0</x:v>
      </x:c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90" t="str">
        <x:v>COVID-19 Mortality Analysis Dashboard — Project 1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91" t="str">
        <x:v>Prepared for</x:v>
      </x:c>
      <x:c r="B2" s="192" t="str">
        <x:v>Rumbidzai Mahlanganise — Data Analyst Portfolio</x:v>
      </x:c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  <x:c r="M2" s="178"/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91" t="str">
        <x:v>Source file used</x:v>
      </x:c>
      <x:c r="B3" s="192" t="str">
        <x:v>WHO-COVID-19-global-data.csv</x:v>
      </x:c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91" t="str">
        <x:v>Source URL</x:v>
      </x:c>
      <x:c r="B4" s="192" t="str">
        <x:v>https://data.who.int/dashboards/covid19/data</x:v>
      </x:c>
      <x:c r="C4" s="178"/>
      <x:c r="D4" s="178"/>
      <x:c r="E4" s="178"/>
      <x:c r="F4" s="178"/>
      <x:c r="G4" s="178"/>
      <x:c r="H4" s="178"/>
      <x:c r="I4" s="178"/>
      <x:c r="J4" s="178"/>
      <x:c r="K4" s="178"/>
      <x:c r="L4" s="17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91" t="str">
        <x:v>Dataset period</x:v>
      </x:c>
      <x:c r="B5" s="192" t="str">
        <x:v>2020-01-05 to 2026-04-26</x:v>
      </x:c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91" t="str">
        <x:v>Rows processed</x:v>
      </x:c>
      <x:c r="B6" s="192" t="n">
        <x:v>79200</x:v>
      </x:c>
      <x:c r="C6" s="178"/>
      <x:c r="D6" s="178"/>
      <x:c r="E6" s="178"/>
      <x:c r="F6" s="178"/>
      <x:c r="G6" s="178"/>
      <x:c r="H6" s="178"/>
      <x:c r="I6" s="178"/>
      <x:c r="J6" s="178"/>
      <x:c r="K6" s="178"/>
      <x:c r="L6" s="178"/>
      <x:c r="M6" s="178"/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91" t="str">
        <x:v>Countries / locations</x:v>
      </x:c>
      <x:c r="B7" s="192" t="n">
        <x:v>240</x:v>
      </x:c>
      <x:c r="C7" s="178"/>
      <x:c r="D7" s="178"/>
      <x:c r="E7" s="178"/>
      <x:c r="F7" s="178"/>
      <x:c r="G7" s="178"/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91" t="str">
        <x:v>Purpose</x:v>
      </x:c>
      <x:c r="B8" s="192" t="str">
        <x:v>Analyse COVID-19 cases, deaths, mortality patterns, WHO region trends and Zimbabwe-specific trends using Excel, SQL-ready tables and dashboard visuals.</x:v>
      </x:c>
      <x:c r="C8" s="178"/>
      <x:c r="D8" s="178"/>
      <x:c r="E8" s="178"/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91" t="str">
        <x:v>How to use</x:v>
      </x:c>
      <x:c r="B9" s="192" t="str">
        <x:v>Start on the Dashboard tab. Use Country_Summary, Region_Summary, Global_Monthly and Zimbabwe_Monthly as analysis tables. Use Chart_Data as the chart source.</x:v>
      </x:c>
      <x:c r="C9" s="178"/>
      <x:c r="D9" s="178"/>
      <x:c r="E9" s="178"/>
      <x:c r="F9" s="178"/>
      <x:c r="G9" s="178"/>
      <x:c r="H9" s="178"/>
      <x:c r="I9" s="178"/>
      <x:c r="J9" s="178"/>
      <x:c r="K9" s="178"/>
      <x:c r="L9" s="178"/>
      <x:c r="M9" s="178"/>
      <x:c r="N9" s="17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91" t="str">
        <x:v>Power BI next step</x:v>
      </x:c>
      <x:c r="B10" s="192" t="str">
        <x:v>Import the WHO CSV or these prepared summary sheets into Power BI Desktop, then recreate the dashboard pages shown here.</x:v>
      </x:c>
      <x:c r="C10" s="178"/>
      <x:c r="D10" s="178"/>
      <x:c r="E10" s="178"/>
      <x:c r="F10" s="178"/>
      <x:c r="G10" s="178"/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91" t="str">
        <x:v>Data limitation</x:v>
      </x:c>
      <x:c r="B11" s="192" t="str">
        <x:v>WHO reported cases/deaths depend on each country's testing, reporting and surveillance approach. Interpret comparisons carefully.</x:v>
      </x:c>
      <x:c r="C11" s="178"/>
      <x:c r="D11" s="178"/>
      <x:c r="E11" s="178"/>
      <x:c r="F11" s="178"/>
      <x:c r="G11" s="178"/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78"/>
      <x:c r="B12" s="178"/>
      <x:c r="C12" s="178"/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78"/>
      <x:c r="B13" s="178"/>
      <x:c r="C13" s="178"/>
      <x:c r="D13" s="178"/>
      <x:c r="E13" s="178"/>
      <x:c r="F13" s="178"/>
      <x:c r="G13" s="178"/>
      <x:c r="H13" s="178"/>
      <x:c r="I13" s="178"/>
      <x:c r="J13" s="178"/>
      <x:c r="K13" s="178"/>
      <x:c r="L13" s="178"/>
      <x:c r="M13" s="178"/>
      <x:c r="N13" s="178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78"/>
      <x:c r="B14" s="178"/>
      <x:c r="C14" s="178"/>
      <x:c r="D14" s="178"/>
      <x:c r="E14" s="178"/>
      <x:c r="F14" s="178"/>
      <x:c r="G14" s="178"/>
      <x:c r="H14" s="178"/>
      <x:c r="I14" s="178"/>
      <x:c r="J14" s="178"/>
      <x:c r="K14" s="178"/>
      <x:c r="L14" s="178"/>
      <x:c r="M14" s="178"/>
      <x:c r="N14" s="178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178"/>
      <x:c r="B15" s="178"/>
      <x:c r="C15" s="178"/>
      <x:c r="D15" s="178"/>
      <x:c r="E15" s="178"/>
      <x:c r="F15" s="178"/>
      <x:c r="G15" s="178"/>
      <x:c r="H15" s="178"/>
      <x:c r="I15" s="178"/>
      <x:c r="J15" s="178"/>
      <x:c r="K15" s="178"/>
      <x:c r="L15" s="178"/>
      <x:c r="M15" s="178"/>
      <x:c r="N15" s="17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78"/>
      <x:c r="B16" s="178"/>
      <x:c r="C16" s="178"/>
      <x:c r="D16" s="178"/>
      <x:c r="E16" s="178"/>
      <x:c r="F16" s="178"/>
      <x:c r="G16" s="178"/>
      <x:c r="H16" s="178"/>
      <x:c r="I16" s="178"/>
      <x:c r="J16" s="178"/>
      <x:c r="K16" s="178"/>
      <x:c r="L16" s="178"/>
      <x:c r="M16" s="178"/>
      <x:c r="N16" s="17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78"/>
      <x:c r="B17" s="178"/>
      <x:c r="C17" s="178"/>
      <x:c r="D17" s="178"/>
      <x:c r="E17" s="178"/>
      <x:c r="F17" s="178"/>
      <x:c r="G17" s="178"/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78"/>
      <x:c r="B18" s="178"/>
      <x:c r="C18" s="178"/>
      <x:c r="D18" s="178"/>
      <x:c r="E18" s="178"/>
      <x:c r="F18" s="178"/>
      <x:c r="G18" s="178"/>
      <x:c r="H18" s="178"/>
      <x:c r="I18" s="178"/>
      <x:c r="J18" s="178"/>
      <x:c r="K18" s="178"/>
      <x:c r="L18" s="178"/>
      <x:c r="M18" s="178"/>
      <x:c r="N18" s="17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78"/>
      <x:c r="B19" s="178"/>
      <x:c r="C19" s="178"/>
      <x:c r="D19" s="178"/>
      <x:c r="E19" s="178"/>
      <x:c r="F19" s="178"/>
      <x:c r="G19" s="178"/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78"/>
      <x:c r="B20" s="178"/>
      <x:c r="C20" s="178"/>
      <x:c r="D20" s="178"/>
      <x:c r="E20" s="178"/>
      <x:c r="F20" s="178"/>
      <x:c r="G20" s="178"/>
      <x:c r="H20" s="178"/>
      <x:c r="I20" s="178"/>
      <x:c r="J20" s="178"/>
      <x:c r="K20" s="178"/>
      <x:c r="L20" s="178"/>
      <x:c r="M20" s="178"/>
      <x:c r="N20" s="17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78"/>
      <x:c r="B21" s="178"/>
      <x:c r="C21" s="178"/>
      <x:c r="D21" s="178"/>
      <x:c r="E21" s="178"/>
      <x:c r="F21" s="178"/>
      <x:c r="G21" s="178"/>
      <x:c r="H21" s="178"/>
      <x:c r="I21" s="178"/>
      <x:c r="J21" s="178"/>
      <x:c r="K21" s="178"/>
      <x:c r="L21" s="178"/>
      <x:c r="M21" s="178"/>
      <x:c r="N21" s="17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78"/>
      <x:c r="B22" s="178"/>
      <x:c r="C22" s="178"/>
      <x:c r="D22" s="178"/>
      <x:c r="E22" s="178"/>
      <x:c r="F22" s="178"/>
      <x:c r="G22" s="178"/>
      <x:c r="H22" s="178"/>
      <x:c r="I22" s="178"/>
      <x:c r="J22" s="178"/>
      <x:c r="K22" s="178"/>
      <x:c r="L22" s="178"/>
      <x:c r="M22" s="178"/>
      <x:c r="N22" s="17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78"/>
      <x:c r="B23" s="178"/>
      <x:c r="C23" s="178"/>
      <x:c r="D23" s="178"/>
      <x:c r="E23" s="178"/>
      <x:c r="F23" s="178"/>
      <x:c r="G23" s="178"/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78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  <x:c r="M24" s="178"/>
      <x:c r="N24" s="17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78"/>
      <x:c r="B25" s="178"/>
      <x:c r="C25" s="178"/>
      <x:c r="D25" s="178"/>
      <x:c r="E25" s="178"/>
      <x:c r="F25" s="178"/>
      <x:c r="G25" s="178"/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78"/>
      <x:c r="B26" s="178"/>
      <x:c r="C26" s="178"/>
      <x:c r="D26" s="178"/>
      <x:c r="E26" s="178"/>
      <x:c r="F26" s="178"/>
      <x:c r="G26" s="178"/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78"/>
      <x:c r="B27" s="178"/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78"/>
      <x:c r="B28" s="178"/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78"/>
      <x:c r="B29" s="178"/>
      <x:c r="C29" s="178"/>
      <x:c r="D29" s="178"/>
      <x:c r="E29" s="178"/>
      <x:c r="F29" s="178"/>
      <x:c r="G29" s="178"/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178"/>
      <x:c r="B30" s="178"/>
      <x:c r="C30" s="178"/>
      <x:c r="D30" s="178"/>
      <x:c r="E30" s="178"/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78"/>
      <x:c r="B31" s="178"/>
      <x:c r="C31" s="178"/>
      <x:c r="D31" s="178"/>
      <x:c r="E31" s="178"/>
      <x:c r="F31" s="178"/>
      <x:c r="G31" s="178"/>
      <x:c r="H31" s="178"/>
      <x:c r="I31" s="178"/>
      <x:c r="J31" s="178"/>
      <x:c r="K31" s="178"/>
      <x:c r="L31" s="178"/>
      <x:c r="M31" s="178"/>
      <x:c r="N31" s="17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78"/>
      <x:c r="B32" s="178"/>
      <x:c r="C32" s="178"/>
      <x:c r="D32" s="178"/>
      <x:c r="E32" s="178"/>
      <x:c r="F32" s="178"/>
      <x:c r="G32" s="178"/>
      <x:c r="H32" s="178"/>
      <x:c r="I32" s="178"/>
      <x:c r="J32" s="178"/>
      <x:c r="K32" s="178"/>
      <x:c r="L32" s="178"/>
      <x:c r="M32" s="178"/>
      <x:c r="N32" s="17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78"/>
      <x:c r="B33" s="178"/>
      <x:c r="C33" s="178"/>
      <x:c r="D33" s="178"/>
      <x:c r="E33" s="178"/>
      <x:c r="F33" s="178"/>
      <x:c r="G33" s="178"/>
      <x:c r="H33" s="178"/>
      <x:c r="I33" s="178"/>
      <x:c r="J33" s="178"/>
      <x:c r="K33" s="178"/>
      <x:c r="L33" s="178"/>
      <x:c r="M33" s="178"/>
      <x:c r="N33" s="17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78"/>
      <x:c r="B34" s="178"/>
      <x:c r="C34" s="178"/>
      <x:c r="D34" s="178"/>
      <x:c r="E34" s="178"/>
      <x:c r="F34" s="178"/>
      <x:c r="G34" s="178"/>
      <x:c r="H34" s="178"/>
      <x:c r="I34" s="178"/>
      <x:c r="J34" s="178"/>
      <x:c r="K34" s="178"/>
      <x:c r="L34" s="178"/>
      <x:c r="M34" s="178"/>
      <x:c r="N34" s="17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78"/>
      <x:c r="B35" s="178"/>
      <x:c r="C35" s="178"/>
      <x:c r="D35" s="178"/>
      <x:c r="E35" s="178"/>
      <x:c r="F35" s="178"/>
      <x:c r="G35" s="178"/>
      <x:c r="H35" s="178"/>
      <x:c r="I35" s="178"/>
      <x:c r="J35" s="178"/>
      <x:c r="K35" s="178"/>
      <x:c r="L35" s="178"/>
      <x:c r="M35" s="178"/>
      <x:c r="N35" s="17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78"/>
      <x:c r="B36" s="178"/>
      <x:c r="C36" s="178"/>
      <x:c r="D36" s="178"/>
      <x:c r="E36" s="178"/>
      <x:c r="F36" s="178"/>
      <x:c r="G36" s="178"/>
      <x:c r="H36" s="178"/>
      <x:c r="I36" s="178"/>
      <x:c r="J36" s="178"/>
      <x:c r="K36" s="178"/>
      <x:c r="L36" s="178"/>
      <x:c r="M36" s="178"/>
      <x:c r="N36" s="17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78"/>
      <x:c r="B37" s="178"/>
      <x:c r="C37" s="178"/>
      <x:c r="D37" s="178"/>
      <x:c r="E37" s="178"/>
      <x:c r="F37" s="178"/>
      <x:c r="G37" s="178"/>
      <x:c r="H37" s="178"/>
      <x:c r="I37" s="178"/>
      <x:c r="J37" s="178"/>
      <x:c r="K37" s="178"/>
      <x:c r="L37" s="178"/>
      <x:c r="M37" s="178"/>
      <x:c r="N37" s="17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78"/>
      <x:c r="B38" s="178"/>
      <x:c r="C38" s="178"/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8"/>
      <x:c r="N38" s="17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78"/>
      <x:c r="B39" s="178"/>
      <x:c r="C39" s="178"/>
      <x:c r="D39" s="178"/>
      <x:c r="E39" s="178"/>
      <x:c r="F39" s="178"/>
      <x:c r="G39" s="178"/>
      <x:c r="H39" s="178"/>
      <x:c r="I39" s="178"/>
      <x:c r="J39" s="178"/>
      <x:c r="K39" s="178"/>
      <x:c r="L39" s="178"/>
      <x:c r="M39" s="178"/>
      <x:c r="N39" s="17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78"/>
      <x:c r="B40" s="178"/>
      <x:c r="C40" s="178"/>
      <x:c r="D40" s="178"/>
      <x:c r="E40" s="178"/>
      <x:c r="F40" s="178"/>
      <x:c r="G40" s="178"/>
      <x:c r="H40" s="178"/>
      <x:c r="I40" s="178"/>
      <x:c r="J40" s="178"/>
      <x:c r="K40" s="178"/>
      <x:c r="L40" s="178"/>
      <x:c r="M40" s="178"/>
      <x:c r="N40" s="17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78"/>
      <x:c r="B41" s="178"/>
      <x:c r="C41" s="178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8"/>
      <x:c r="N41" s="17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78"/>
      <x:c r="B42" s="178"/>
      <x:c r="C42" s="178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8"/>
      <x:c r="N42" s="17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78"/>
      <x:c r="B43" s="178"/>
      <x:c r="C43" s="178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8"/>
      <x:c r="N43" s="17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78"/>
      <x:c r="B44" s="178"/>
      <x:c r="C44" s="178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8"/>
      <x:c r="N44" s="17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8"/>
      <x:c r="N45" s="17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78"/>
      <x:c r="B46" s="178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8"/>
      <x:c r="N46" s="17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78"/>
      <x:c r="B47" s="178"/>
      <x:c r="C47" s="178"/>
      <x:c r="D47" s="178"/>
      <x:c r="E47" s="178"/>
      <x:c r="F47" s="178"/>
      <x:c r="G47" s="178"/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78"/>
      <x:c r="B48" s="178"/>
      <x:c r="C48" s="178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8"/>
      <x:c r="N48" s="17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78"/>
      <x:c r="B49" s="178"/>
      <x:c r="C49" s="178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8"/>
      <x:c r="N49" s="17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78"/>
      <x:c r="B50" s="178"/>
      <x:c r="C50" s="178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8"/>
      <x:c r="N50" s="178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78"/>
      <x:c r="B51" s="178"/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N52" s="178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8"/>
      <x:c r="N53" s="178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8"/>
      <x:c r="N54" s="178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96" t="str">
        <x:v>-- COVID-19 Mortality Analysis — SQL Portfolio Queries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</x:row>
    <x:row r="2">
      <x:c r="A2" s="196" t="str">
        <x:v>-- Table expected: who_covid_global_data</x:v>
      </x:c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  <x:c r="M2" s="178"/>
      <x:c r="N2" s="178"/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</x:row>
    <x:row r="3">
      <x:c r="A3" s="196" t="str">
        <x:v>-- Columns: Date_reported, Country_code, Country, WHO_region, New_cases, Cumulative_cases, New_deaths, Cumulative_deaths</x:v>
      </x:c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</x:row>
    <x:row r="4">
      <x:c r="A4" s="196" t="str"/>
      <x:c r="B4" s="178"/>
      <x:c r="C4" s="178"/>
      <x:c r="D4" s="178"/>
      <x:c r="E4" s="178"/>
      <x:c r="F4" s="178"/>
      <x:c r="G4" s="178"/>
      <x:c r="H4" s="178"/>
      <x:c r="I4" s="178"/>
      <x:c r="J4" s="178"/>
      <x:c r="K4" s="178"/>
      <x:c r="L4" s="178"/>
      <x:c r="M4" s="178"/>
      <x:c r="N4" s="178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</x:row>
    <x:row r="5">
      <x:c r="A5" s="196" t="str">
        <x:v>-- 1. Latest country totals</x:v>
      </x:c>
      <x:c r="B5" s="178"/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  <x:c r="M5" s="178"/>
      <x:c r="N5" s="178"/>
      <x:c r="O5" s="178"/>
      <x:c r="P5" s="178"/>
      <x:c r="Q5" s="178"/>
      <x:c r="R5" s="178"/>
      <x:c r="S5" s="178"/>
      <x:c r="T5" s="178"/>
      <x:c r="U5" s="178"/>
      <x:c r="V5" s="178"/>
      <x:c r="W5" s="178"/>
      <x:c r="X5" s="178"/>
      <x:c r="Y5" s="178"/>
      <x:c r="Z5" s="178"/>
    </x:row>
    <x:row r="6">
      <x:c r="A6" s="196" t="str">
        <x:v>SELECT</x:v>
      </x:c>
      <x:c r="B6" s="178"/>
      <x:c r="C6" s="178"/>
      <x:c r="D6" s="178"/>
      <x:c r="E6" s="178"/>
      <x:c r="F6" s="178"/>
      <x:c r="G6" s="178"/>
      <x:c r="H6" s="178"/>
      <x:c r="I6" s="178"/>
      <x:c r="J6" s="178"/>
      <x:c r="K6" s="178"/>
      <x:c r="L6" s="178"/>
      <x:c r="M6" s="178"/>
      <x:c r="N6" s="178"/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</x:row>
    <x:row r="7">
      <x:c r="A7" s="196" t="str">
        <x:v>  Country,</x:v>
      </x:c>
      <x:c r="B7" s="178"/>
      <x:c r="C7" s="178"/>
      <x:c r="D7" s="178"/>
      <x:c r="E7" s="178"/>
      <x:c r="F7" s="178"/>
      <x:c r="G7" s="178"/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</x:row>
    <x:row r="8">
      <x:c r="A8" s="196" t="str">
        <x:v>  Country_code,</x:v>
      </x:c>
      <x:c r="B8" s="178"/>
      <x:c r="C8" s="178"/>
      <x:c r="D8" s="178"/>
      <x:c r="E8" s="178"/>
      <x:c r="F8" s="178"/>
      <x:c r="G8" s="178"/>
      <x:c r="H8" s="178"/>
      <x:c r="I8" s="178"/>
      <x:c r="J8" s="178"/>
      <x:c r="K8" s="178"/>
      <x:c r="L8" s="178"/>
      <x:c r="M8" s="178"/>
      <x:c r="N8" s="178"/>
      <x:c r="O8" s="178"/>
      <x:c r="P8" s="178"/>
      <x:c r="Q8" s="178"/>
      <x:c r="R8" s="178"/>
      <x:c r="S8" s="178"/>
      <x:c r="T8" s="178"/>
      <x:c r="U8" s="178"/>
      <x:c r="V8" s="178"/>
      <x:c r="W8" s="178"/>
      <x:c r="X8" s="178"/>
      <x:c r="Y8" s="178"/>
      <x:c r="Z8" s="178"/>
    </x:row>
    <x:row r="9">
      <x:c r="A9" s="196" t="str">
        <x:v>  WHO_region,</x:v>
      </x:c>
      <x:c r="B9" s="178"/>
      <x:c r="C9" s="178"/>
      <x:c r="D9" s="178"/>
      <x:c r="E9" s="178"/>
      <x:c r="F9" s="178"/>
      <x:c r="G9" s="178"/>
      <x:c r="H9" s="178"/>
      <x:c r="I9" s="178"/>
      <x:c r="J9" s="178"/>
      <x:c r="K9" s="178"/>
      <x:c r="L9" s="178"/>
      <x:c r="M9" s="178"/>
      <x:c r="N9" s="178"/>
      <x:c r="O9" s="178"/>
      <x:c r="P9" s="178"/>
      <x:c r="Q9" s="178"/>
      <x:c r="R9" s="178"/>
      <x:c r="S9" s="178"/>
      <x:c r="T9" s="178"/>
      <x:c r="U9" s="178"/>
      <x:c r="V9" s="178"/>
      <x:c r="W9" s="178"/>
      <x:c r="X9" s="178"/>
      <x:c r="Y9" s="178"/>
      <x:c r="Z9" s="178"/>
    </x:row>
    <x:row r="10">
      <x:c r="A10" s="196" t="str">
        <x:v>  MAX(Date_reported) AS latest_date,</x:v>
      </x:c>
      <x:c r="B10" s="178"/>
      <x:c r="C10" s="178"/>
      <x:c r="D10" s="178"/>
      <x:c r="E10" s="178"/>
      <x:c r="F10" s="178"/>
      <x:c r="G10" s="178"/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78"/>
      <x:c r="U10" s="178"/>
      <x:c r="V10" s="178"/>
      <x:c r="W10" s="178"/>
      <x:c r="X10" s="178"/>
      <x:c r="Y10" s="178"/>
      <x:c r="Z10" s="178"/>
    </x:row>
    <x:row r="11">
      <x:c r="A11" s="196" t="str">
        <x:v>  MAX(Cumulative_cases) AS total_cases,</x:v>
      </x:c>
      <x:c r="B11" s="178"/>
      <x:c r="C11" s="178"/>
      <x:c r="D11" s="178"/>
      <x:c r="E11" s="178"/>
      <x:c r="F11" s="178"/>
      <x:c r="G11" s="178"/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78"/>
      <x:c r="U11" s="178"/>
      <x:c r="V11" s="178"/>
      <x:c r="W11" s="178"/>
      <x:c r="X11" s="178"/>
      <x:c r="Y11" s="178"/>
      <x:c r="Z11" s="178"/>
    </x:row>
    <x:row r="12">
      <x:c r="A12" s="196" t="str">
        <x:v>  MAX(Cumulative_deaths) AS total_deaths,</x:v>
      </x:c>
      <x:c r="B12" s="178"/>
      <x:c r="C12" s="178"/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  <x:c r="V12" s="178"/>
      <x:c r="W12" s="178"/>
      <x:c r="X12" s="178"/>
      <x:c r="Y12" s="178"/>
      <x:c r="Z12" s="178"/>
    </x:row>
    <x:row r="13">
      <x:c r="A13" s="196" t="str">
        <x:v>  CASE WHEN MAX(Cumulative_cases) &gt; 0</x:v>
      </x:c>
      <x:c r="B13" s="178"/>
      <x:c r="C13" s="178"/>
      <x:c r="D13" s="178"/>
      <x:c r="E13" s="178"/>
      <x:c r="F13" s="178"/>
      <x:c r="G13" s="178"/>
      <x:c r="H13" s="178"/>
      <x:c r="I13" s="178"/>
      <x:c r="J13" s="178"/>
      <x:c r="K13" s="178"/>
      <x:c r="L13" s="178"/>
      <x:c r="M13" s="178"/>
      <x:c r="N13" s="178"/>
      <x:c r="O13" s="178"/>
      <x:c r="P13" s="178"/>
      <x:c r="Q13" s="178"/>
      <x:c r="R13" s="178"/>
      <x:c r="S13" s="178"/>
      <x:c r="T13" s="178"/>
      <x:c r="U13" s="178"/>
      <x:c r="V13" s="178"/>
      <x:c r="W13" s="178"/>
      <x:c r="X13" s="178"/>
      <x:c r="Y13" s="178"/>
      <x:c r="Z13" s="178"/>
    </x:row>
    <x:row r="14">
      <x:c r="A14" s="196" t="str">
        <x:v>       THEN MAX(Cumulative_deaths) * 1.0 / MAX(Cumulative_cases)</x:v>
      </x:c>
      <x:c r="B14" s="178"/>
      <x:c r="C14" s="178"/>
      <x:c r="D14" s="178"/>
      <x:c r="E14" s="178"/>
      <x:c r="F14" s="178"/>
      <x:c r="G14" s="178"/>
      <x:c r="H14" s="178"/>
      <x:c r="I14" s="178"/>
      <x:c r="J14" s="178"/>
      <x:c r="K14" s="178"/>
      <x:c r="L14" s="178"/>
      <x:c r="M14" s="178"/>
      <x:c r="N14" s="178"/>
      <x:c r="O14" s="178"/>
      <x:c r="P14" s="178"/>
      <x:c r="Q14" s="178"/>
      <x:c r="R14" s="178"/>
      <x:c r="S14" s="178"/>
      <x:c r="T14" s="178"/>
      <x:c r="U14" s="178"/>
      <x:c r="V14" s="178"/>
      <x:c r="W14" s="178"/>
      <x:c r="X14" s="178"/>
      <x:c r="Y14" s="178"/>
      <x:c r="Z14" s="178"/>
    </x:row>
    <x:row r="15">
      <x:c r="A15" s="196" t="str">
        <x:v>       ELSE 0 END AS case_fatality_rate</x:v>
      </x:c>
      <x:c r="B15" s="178"/>
      <x:c r="C15" s="178"/>
      <x:c r="D15" s="178"/>
      <x:c r="E15" s="178"/>
      <x:c r="F15" s="178"/>
      <x:c r="G15" s="178"/>
      <x:c r="H15" s="178"/>
      <x:c r="I15" s="178"/>
      <x:c r="J15" s="178"/>
      <x:c r="K15" s="178"/>
      <x:c r="L15" s="178"/>
      <x:c r="M15" s="178"/>
      <x:c r="N15" s="178"/>
      <x:c r="O15" s="178"/>
      <x:c r="P15" s="178"/>
      <x:c r="Q15" s="178"/>
      <x:c r="R15" s="178"/>
      <x:c r="S15" s="178"/>
      <x:c r="T15" s="178"/>
      <x:c r="U15" s="178"/>
      <x:c r="V15" s="178"/>
      <x:c r="W15" s="178"/>
      <x:c r="X15" s="178"/>
      <x:c r="Y15" s="178"/>
      <x:c r="Z15" s="178"/>
    </x:row>
    <x:row r="16">
      <x:c r="A16" s="196" t="str">
        <x:v>FROM who_covid_global_data</x:v>
      </x:c>
      <x:c r="B16" s="178"/>
      <x:c r="C16" s="178"/>
      <x:c r="D16" s="178"/>
      <x:c r="E16" s="178"/>
      <x:c r="F16" s="178"/>
      <x:c r="G16" s="178"/>
      <x:c r="H16" s="178"/>
      <x:c r="I16" s="178"/>
      <x:c r="J16" s="178"/>
      <x:c r="K16" s="178"/>
      <x:c r="L16" s="178"/>
      <x:c r="M16" s="178"/>
      <x:c r="N16" s="178"/>
      <x:c r="O16" s="178"/>
      <x:c r="P16" s="178"/>
      <x:c r="Q16" s="178"/>
      <x:c r="R16" s="178"/>
      <x:c r="S16" s="178"/>
      <x:c r="T16" s="178"/>
      <x:c r="U16" s="178"/>
      <x:c r="V16" s="178"/>
      <x:c r="W16" s="178"/>
      <x:c r="X16" s="178"/>
      <x:c r="Y16" s="178"/>
      <x:c r="Z16" s="178"/>
    </x:row>
    <x:row r="17">
      <x:c r="A17" s="196" t="str">
        <x:v>GROUP BY Country, Country_code, WHO_region</x:v>
      </x:c>
      <x:c r="B17" s="178"/>
      <x:c r="C17" s="178"/>
      <x:c r="D17" s="178"/>
      <x:c r="E17" s="178"/>
      <x:c r="F17" s="178"/>
      <x:c r="G17" s="178"/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  <x:c r="V17" s="178"/>
      <x:c r="W17" s="178"/>
      <x:c r="X17" s="178"/>
      <x:c r="Y17" s="178"/>
      <x:c r="Z17" s="178"/>
    </x:row>
    <x:row r="18">
      <x:c r="A18" s="196" t="str">
        <x:v>ORDER BY total_deaths DESC;</x:v>
      </x:c>
      <x:c r="B18" s="178"/>
      <x:c r="C18" s="178"/>
      <x:c r="D18" s="178"/>
      <x:c r="E18" s="178"/>
      <x:c r="F18" s="178"/>
      <x:c r="G18" s="178"/>
      <x:c r="H18" s="178"/>
      <x:c r="I18" s="178"/>
      <x:c r="J18" s="178"/>
      <x:c r="K18" s="178"/>
      <x:c r="L18" s="178"/>
      <x:c r="M18" s="178"/>
      <x:c r="N18" s="178"/>
      <x:c r="O18" s="178"/>
      <x:c r="P18" s="178"/>
      <x:c r="Q18" s="178"/>
      <x:c r="R18" s="178"/>
      <x:c r="S18" s="178"/>
      <x:c r="T18" s="178"/>
      <x:c r="U18" s="178"/>
      <x:c r="V18" s="178"/>
      <x:c r="W18" s="178"/>
      <x:c r="X18" s="178"/>
      <x:c r="Y18" s="178"/>
      <x:c r="Z18" s="178"/>
    </x:row>
    <x:row r="19">
      <x:c r="A19" s="196" t="str"/>
      <x:c r="B19" s="178"/>
      <x:c r="C19" s="178"/>
      <x:c r="D19" s="178"/>
      <x:c r="E19" s="178"/>
      <x:c r="F19" s="178"/>
      <x:c r="G19" s="178"/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  <x:c r="U19" s="178"/>
      <x:c r="V19" s="178"/>
      <x:c r="W19" s="178"/>
      <x:c r="X19" s="178"/>
      <x:c r="Y19" s="178"/>
      <x:c r="Z19" s="178"/>
    </x:row>
    <x:row r="20">
      <x:c r="A20" s="196" t="str">
        <x:v>-- 2. Global monthly deaths and cases</x:v>
      </x:c>
      <x:c r="B20" s="178"/>
      <x:c r="C20" s="178"/>
      <x:c r="D20" s="178"/>
      <x:c r="E20" s="178"/>
      <x:c r="F20" s="178"/>
      <x:c r="G20" s="178"/>
      <x:c r="H20" s="178"/>
      <x:c r="I20" s="178"/>
      <x:c r="J20" s="178"/>
      <x:c r="K20" s="178"/>
      <x:c r="L20" s="178"/>
      <x:c r="M20" s="178"/>
      <x:c r="N20" s="178"/>
      <x:c r="O20" s="178"/>
      <x:c r="P20" s="178"/>
      <x:c r="Q20" s="178"/>
      <x:c r="R20" s="178"/>
      <x:c r="S20" s="178"/>
      <x:c r="T20" s="178"/>
      <x:c r="U20" s="178"/>
      <x:c r="V20" s="178"/>
      <x:c r="W20" s="178"/>
      <x:c r="X20" s="178"/>
      <x:c r="Y20" s="178"/>
      <x:c r="Z20" s="178"/>
    </x:row>
    <x:row r="21">
      <x:c r="A21" s="196" t="str">
        <x:v>SELECT</x:v>
      </x:c>
      <x:c r="B21" s="178"/>
      <x:c r="C21" s="178"/>
      <x:c r="D21" s="178"/>
      <x:c r="E21" s="178"/>
      <x:c r="F21" s="178"/>
      <x:c r="G21" s="178"/>
      <x:c r="H21" s="178"/>
      <x:c r="I21" s="178"/>
      <x:c r="J21" s="178"/>
      <x:c r="K21" s="178"/>
      <x:c r="L21" s="178"/>
      <x:c r="M21" s="178"/>
      <x:c r="N21" s="178"/>
      <x:c r="O21" s="178"/>
      <x:c r="P21" s="178"/>
      <x:c r="Q21" s="178"/>
      <x:c r="R21" s="178"/>
      <x:c r="S21" s="178"/>
      <x:c r="T21" s="178"/>
      <x:c r="U21" s="178"/>
      <x:c r="V21" s="178"/>
      <x:c r="W21" s="178"/>
      <x:c r="X21" s="178"/>
      <x:c r="Y21" s="178"/>
      <x:c r="Z21" s="178"/>
    </x:row>
    <x:row r="22">
      <x:c r="A22" s="196" t="str">
        <x:v>  DATEFROMPARTS(YEAR(Date_reported), MONTH(Date_reported), 1) AS month_start,</x:v>
      </x:c>
      <x:c r="B22" s="178"/>
      <x:c r="C22" s="178"/>
      <x:c r="D22" s="178"/>
      <x:c r="E22" s="178"/>
      <x:c r="F22" s="178"/>
      <x:c r="G22" s="178"/>
      <x:c r="H22" s="178"/>
      <x:c r="I22" s="178"/>
      <x:c r="J22" s="178"/>
      <x:c r="K22" s="178"/>
      <x:c r="L22" s="178"/>
      <x:c r="M22" s="178"/>
      <x:c r="N22" s="178"/>
      <x:c r="O22" s="178"/>
      <x:c r="P22" s="178"/>
      <x:c r="Q22" s="178"/>
      <x:c r="R22" s="178"/>
      <x:c r="S22" s="178"/>
      <x:c r="T22" s="178"/>
      <x:c r="U22" s="178"/>
      <x:c r="V22" s="178"/>
      <x:c r="W22" s="178"/>
      <x:c r="X22" s="178"/>
      <x:c r="Y22" s="178"/>
      <x:c r="Z22" s="178"/>
    </x:row>
    <x:row r="23">
      <x:c r="A23" s="196" t="str">
        <x:v>  SUM(New_cases) AS monthly_new_cases,</x:v>
      </x:c>
      <x:c r="B23" s="178"/>
      <x:c r="C23" s="178"/>
      <x:c r="D23" s="178"/>
      <x:c r="E23" s="178"/>
      <x:c r="F23" s="178"/>
      <x:c r="G23" s="178"/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  <x:c r="V23" s="178"/>
      <x:c r="W23" s="178"/>
      <x:c r="X23" s="178"/>
      <x:c r="Y23" s="178"/>
      <x:c r="Z23" s="178"/>
    </x:row>
    <x:row r="24">
      <x:c r="A24" s="196" t="str">
        <x:v>  SUM(New_deaths) AS monthly_new_deaths</x:v>
      </x:c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  <x:c r="M24" s="178"/>
      <x:c r="N24" s="178"/>
      <x:c r="O24" s="178"/>
      <x:c r="P24" s="178"/>
      <x:c r="Q24" s="178"/>
      <x:c r="R24" s="178"/>
      <x:c r="S24" s="178"/>
      <x:c r="T24" s="178"/>
      <x:c r="U24" s="178"/>
      <x:c r="V24" s="178"/>
      <x:c r="W24" s="178"/>
      <x:c r="X24" s="178"/>
      <x:c r="Y24" s="178"/>
      <x:c r="Z24" s="178"/>
    </x:row>
    <x:row r="25">
      <x:c r="A25" s="196" t="str">
        <x:v>FROM who_covid_global_data</x:v>
      </x:c>
      <x:c r="B25" s="178"/>
      <x:c r="C25" s="178"/>
      <x:c r="D25" s="178"/>
      <x:c r="E25" s="178"/>
      <x:c r="F25" s="178"/>
      <x:c r="G25" s="178"/>
      <x:c r="H25" s="178"/>
      <x:c r="I25" s="178"/>
      <x:c r="J25" s="178"/>
      <x:c r="K25" s="178"/>
      <x:c r="L25" s="178"/>
      <x:c r="M25" s="178"/>
      <x:c r="N25" s="178"/>
      <x:c r="O25" s="178"/>
      <x:c r="P25" s="178"/>
      <x:c r="Q25" s="178"/>
      <x:c r="R25" s="178"/>
      <x:c r="S25" s="178"/>
      <x:c r="T25" s="178"/>
      <x:c r="U25" s="178"/>
      <x:c r="V25" s="178"/>
      <x:c r="W25" s="178"/>
      <x:c r="X25" s="178"/>
      <x:c r="Y25" s="178"/>
      <x:c r="Z25" s="178"/>
    </x:row>
    <x:row r="26">
      <x:c r="A26" s="196" t="str">
        <x:v>GROUP BY YEAR(Date_reported), MONTH(Date_reported)</x:v>
      </x:c>
      <x:c r="B26" s="178"/>
      <x:c r="C26" s="178"/>
      <x:c r="D26" s="178"/>
      <x:c r="E26" s="178"/>
      <x:c r="F26" s="178"/>
      <x:c r="G26" s="178"/>
      <x:c r="H26" s="178"/>
      <x:c r="I26" s="178"/>
      <x:c r="J26" s="178"/>
      <x:c r="K26" s="178"/>
      <x:c r="L26" s="178"/>
      <x:c r="M26" s="178"/>
      <x:c r="N26" s="178"/>
      <x:c r="O26" s="178"/>
      <x:c r="P26" s="178"/>
      <x:c r="Q26" s="178"/>
      <x:c r="R26" s="178"/>
      <x:c r="S26" s="178"/>
      <x:c r="T26" s="178"/>
      <x:c r="U26" s="178"/>
      <x:c r="V26" s="178"/>
      <x:c r="W26" s="178"/>
      <x:c r="X26" s="178"/>
      <x:c r="Y26" s="178"/>
      <x:c r="Z26" s="178"/>
    </x:row>
    <x:row r="27">
      <x:c r="A27" s="196" t="str">
        <x:v>ORDER BY month_start;</x:v>
      </x:c>
      <x:c r="B27" s="178"/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8"/>
      <x:c r="O27" s="178"/>
      <x:c r="P27" s="178"/>
      <x:c r="Q27" s="178"/>
      <x:c r="R27" s="178"/>
      <x:c r="S27" s="178"/>
      <x:c r="T27" s="178"/>
      <x:c r="U27" s="178"/>
      <x:c r="V27" s="178"/>
      <x:c r="W27" s="178"/>
      <x:c r="X27" s="178"/>
      <x:c r="Y27" s="178"/>
      <x:c r="Z27" s="178"/>
    </x:row>
    <x:row r="28">
      <x:c r="A28" s="196" t="str"/>
      <x:c r="B28" s="178"/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  <x:c r="V28" s="178"/>
      <x:c r="W28" s="178"/>
      <x:c r="X28" s="178"/>
      <x:c r="Y28" s="178"/>
      <x:c r="Z28" s="178"/>
    </x:row>
    <x:row r="29">
      <x:c r="A29" s="196" t="str">
        <x:v>-- 3. WHO region totals</x:v>
      </x:c>
      <x:c r="B29" s="178"/>
      <x:c r="C29" s="178"/>
      <x:c r="D29" s="178"/>
      <x:c r="E29" s="178"/>
      <x:c r="F29" s="178"/>
      <x:c r="G29" s="178"/>
      <x:c r="H29" s="178"/>
      <x:c r="I29" s="178"/>
      <x:c r="J29" s="178"/>
      <x:c r="K29" s="178"/>
      <x:c r="L29" s="178"/>
      <x:c r="M29" s="178"/>
      <x:c r="N29" s="178"/>
      <x:c r="O29" s="178"/>
      <x:c r="P29" s="178"/>
      <x:c r="Q29" s="178"/>
      <x:c r="R29" s="178"/>
      <x:c r="S29" s="178"/>
      <x:c r="T29" s="178"/>
      <x:c r="U29" s="178"/>
      <x:c r="V29" s="178"/>
      <x:c r="W29" s="178"/>
      <x:c r="X29" s="178"/>
      <x:c r="Y29" s="178"/>
      <x:c r="Z29" s="178"/>
    </x:row>
    <x:row r="30">
      <x:c r="A30" s="196" t="str">
        <x:v>WITH latest_country AS (</x:v>
      </x:c>
      <x:c r="B30" s="178"/>
      <x:c r="C30" s="178"/>
      <x:c r="D30" s="178"/>
      <x:c r="E30" s="178"/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8"/>
      <x:c r="Z30" s="178"/>
    </x:row>
    <x:row r="31">
      <x:c r="A31" s="196" t="str">
        <x:v>  SELECT Country, WHO_region,</x:v>
      </x:c>
      <x:c r="B31" s="178"/>
      <x:c r="C31" s="178"/>
      <x:c r="D31" s="178"/>
      <x:c r="E31" s="178"/>
      <x:c r="F31" s="178"/>
      <x:c r="G31" s="178"/>
      <x:c r="H31" s="178"/>
      <x:c r="I31" s="178"/>
      <x:c r="J31" s="178"/>
      <x:c r="K31" s="178"/>
      <x:c r="L31" s="178"/>
      <x:c r="M31" s="178"/>
      <x:c r="N31" s="178"/>
      <x:c r="O31" s="178"/>
      <x:c r="P31" s="178"/>
      <x:c r="Q31" s="178"/>
      <x:c r="R31" s="178"/>
      <x:c r="S31" s="178"/>
      <x:c r="T31" s="178"/>
      <x:c r="U31" s="178"/>
      <x:c r="V31" s="178"/>
      <x:c r="W31" s="178"/>
      <x:c r="X31" s="178"/>
      <x:c r="Y31" s="178"/>
      <x:c r="Z31" s="178"/>
    </x:row>
    <x:row r="32">
      <x:c r="A32" s="196" t="str">
        <x:v>         MAX(Cumulative_cases) AS total_cases,</x:v>
      </x:c>
      <x:c r="B32" s="178"/>
      <x:c r="C32" s="178"/>
      <x:c r="D32" s="178"/>
      <x:c r="E32" s="178"/>
      <x:c r="F32" s="178"/>
      <x:c r="G32" s="178"/>
      <x:c r="H32" s="178"/>
      <x:c r="I32" s="178"/>
      <x:c r="J32" s="178"/>
      <x:c r="K32" s="178"/>
      <x:c r="L32" s="178"/>
      <x:c r="M32" s="178"/>
      <x:c r="N32" s="178"/>
      <x:c r="O32" s="178"/>
      <x:c r="P32" s="178"/>
      <x:c r="Q32" s="178"/>
      <x:c r="R32" s="178"/>
      <x:c r="S32" s="178"/>
      <x:c r="T32" s="178"/>
      <x:c r="U32" s="178"/>
      <x:c r="V32" s="178"/>
      <x:c r="W32" s="178"/>
      <x:c r="X32" s="178"/>
      <x:c r="Y32" s="178"/>
      <x:c r="Z32" s="178"/>
    </x:row>
    <x:row r="33">
      <x:c r="A33" s="196" t="str">
        <x:v>         MAX(Cumulative_deaths) AS total_deaths</x:v>
      </x:c>
      <x:c r="B33" s="178"/>
      <x:c r="C33" s="178"/>
      <x:c r="D33" s="178"/>
      <x:c r="E33" s="178"/>
      <x:c r="F33" s="178"/>
      <x:c r="G33" s="178"/>
      <x:c r="H33" s="178"/>
      <x:c r="I33" s="178"/>
      <x:c r="J33" s="178"/>
      <x:c r="K33" s="178"/>
      <x:c r="L33" s="178"/>
      <x:c r="M33" s="178"/>
      <x:c r="N33" s="178"/>
      <x:c r="O33" s="178"/>
      <x:c r="P33" s="178"/>
      <x:c r="Q33" s="178"/>
      <x:c r="R33" s="178"/>
      <x:c r="S33" s="178"/>
      <x:c r="T33" s="178"/>
      <x:c r="U33" s="178"/>
      <x:c r="V33" s="178"/>
      <x:c r="W33" s="178"/>
      <x:c r="X33" s="178"/>
      <x:c r="Y33" s="178"/>
      <x:c r="Z33" s="178"/>
    </x:row>
    <x:row r="34">
      <x:c r="A34" s="196" t="str">
        <x:v>  FROM who_covid_global_data</x:v>
      </x:c>
      <x:c r="B34" s="178"/>
      <x:c r="C34" s="178"/>
      <x:c r="D34" s="178"/>
      <x:c r="E34" s="178"/>
      <x:c r="F34" s="178"/>
      <x:c r="G34" s="178"/>
      <x:c r="H34" s="178"/>
      <x:c r="I34" s="178"/>
      <x:c r="J34" s="178"/>
      <x:c r="K34" s="178"/>
      <x:c r="L34" s="178"/>
      <x:c r="M34" s="178"/>
      <x:c r="N34" s="178"/>
      <x:c r="O34" s="178"/>
      <x:c r="P34" s="178"/>
      <x:c r="Q34" s="178"/>
      <x:c r="R34" s="178"/>
      <x:c r="S34" s="178"/>
      <x:c r="T34" s="178"/>
      <x:c r="U34" s="178"/>
      <x:c r="V34" s="178"/>
      <x:c r="W34" s="178"/>
      <x:c r="X34" s="178"/>
      <x:c r="Y34" s="178"/>
      <x:c r="Z34" s="178"/>
    </x:row>
    <x:row r="35">
      <x:c r="A35" s="196" t="str">
        <x:v>  GROUP BY Country, WHO_region</x:v>
      </x:c>
      <x:c r="B35" s="178"/>
      <x:c r="C35" s="178"/>
      <x:c r="D35" s="178"/>
      <x:c r="E35" s="178"/>
      <x:c r="F35" s="178"/>
      <x:c r="G35" s="178"/>
      <x:c r="H35" s="178"/>
      <x:c r="I35" s="178"/>
      <x:c r="J35" s="178"/>
      <x:c r="K35" s="178"/>
      <x:c r="L35" s="178"/>
      <x:c r="M35" s="178"/>
      <x:c r="N35" s="178"/>
      <x:c r="O35" s="178"/>
      <x:c r="P35" s="178"/>
      <x:c r="Q35" s="178"/>
      <x:c r="R35" s="178"/>
      <x:c r="S35" s="178"/>
      <x:c r="T35" s="178"/>
      <x:c r="U35" s="178"/>
      <x:c r="V35" s="178"/>
      <x:c r="W35" s="178"/>
      <x:c r="X35" s="178"/>
      <x:c r="Y35" s="178"/>
      <x:c r="Z35" s="178"/>
    </x:row>
    <x:row r="36">
      <x:c r="A36" s="196" t="str">
        <x:v>)</x:v>
      </x:c>
      <x:c r="B36" s="178"/>
      <x:c r="C36" s="178"/>
      <x:c r="D36" s="178"/>
      <x:c r="E36" s="178"/>
      <x:c r="F36" s="178"/>
      <x:c r="G36" s="178"/>
      <x:c r="H36" s="178"/>
      <x:c r="I36" s="178"/>
      <x:c r="J36" s="178"/>
      <x:c r="K36" s="178"/>
      <x:c r="L36" s="178"/>
      <x:c r="M36" s="178"/>
      <x:c r="N36" s="178"/>
      <x:c r="O36" s="178"/>
      <x:c r="P36" s="178"/>
      <x:c r="Q36" s="178"/>
      <x:c r="R36" s="178"/>
      <x:c r="S36" s="178"/>
      <x:c r="T36" s="178"/>
      <x:c r="U36" s="178"/>
      <x:c r="V36" s="178"/>
      <x:c r="W36" s="178"/>
      <x:c r="X36" s="178"/>
      <x:c r="Y36" s="178"/>
      <x:c r="Z36" s="178"/>
    </x:row>
    <x:row r="37">
      <x:c r="A37" s="196" t="str">
        <x:v>SELECT</x:v>
      </x:c>
      <x:c r="B37" s="178"/>
      <x:c r="C37" s="178"/>
      <x:c r="D37" s="178"/>
      <x:c r="E37" s="178"/>
      <x:c r="F37" s="178"/>
      <x:c r="G37" s="178"/>
      <x:c r="H37" s="178"/>
      <x:c r="I37" s="178"/>
      <x:c r="J37" s="178"/>
      <x:c r="K37" s="178"/>
      <x:c r="L37" s="178"/>
      <x:c r="M37" s="178"/>
      <x:c r="N37" s="178"/>
      <x:c r="O37" s="178"/>
      <x:c r="P37" s="178"/>
      <x:c r="Q37" s="178"/>
      <x:c r="R37" s="178"/>
      <x:c r="S37" s="178"/>
      <x:c r="T37" s="178"/>
      <x:c r="U37" s="178"/>
      <x:c r="V37" s="178"/>
      <x:c r="W37" s="178"/>
      <x:c r="X37" s="178"/>
      <x:c r="Y37" s="178"/>
      <x:c r="Z37" s="178"/>
    </x:row>
    <x:row r="38">
      <x:c r="A38" s="196" t="str">
        <x:v>  WHO_region,</x:v>
      </x:c>
      <x:c r="B38" s="178"/>
      <x:c r="C38" s="178"/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8"/>
      <x:c r="N38" s="178"/>
      <x:c r="O38" s="178"/>
      <x:c r="P38" s="178"/>
      <x:c r="Q38" s="178"/>
      <x:c r="R38" s="178"/>
      <x:c r="S38" s="178"/>
      <x:c r="T38" s="178"/>
      <x:c r="U38" s="178"/>
      <x:c r="V38" s="178"/>
      <x:c r="W38" s="178"/>
      <x:c r="X38" s="178"/>
      <x:c r="Y38" s="178"/>
      <x:c r="Z38" s="178"/>
    </x:row>
    <x:row r="39">
      <x:c r="A39" s="196" t="str">
        <x:v>  COUNT(*) AS countries_locations,</x:v>
      </x:c>
      <x:c r="B39" s="178"/>
      <x:c r="C39" s="178"/>
      <x:c r="D39" s="178"/>
      <x:c r="E39" s="178"/>
      <x:c r="F39" s="178"/>
      <x:c r="G39" s="178"/>
      <x:c r="H39" s="178"/>
      <x:c r="I39" s="178"/>
      <x:c r="J39" s="178"/>
      <x:c r="K39" s="178"/>
      <x:c r="L39" s="178"/>
      <x:c r="M39" s="178"/>
      <x:c r="N39" s="178"/>
      <x:c r="O39" s="178"/>
      <x:c r="P39" s="178"/>
      <x:c r="Q39" s="178"/>
      <x:c r="R39" s="178"/>
      <x:c r="S39" s="178"/>
      <x:c r="T39" s="178"/>
      <x:c r="U39" s="178"/>
      <x:c r="V39" s="178"/>
      <x:c r="W39" s="178"/>
      <x:c r="X39" s="178"/>
      <x:c r="Y39" s="178"/>
      <x:c r="Z39" s="178"/>
    </x:row>
    <x:row r="40">
      <x:c r="A40" s="196" t="str">
        <x:v>  SUM(total_cases) AS total_cases,</x:v>
      </x:c>
      <x:c r="B40" s="178"/>
      <x:c r="C40" s="178"/>
      <x:c r="D40" s="178"/>
      <x:c r="E40" s="178"/>
      <x:c r="F40" s="178"/>
      <x:c r="G40" s="178"/>
      <x:c r="H40" s="178"/>
      <x:c r="I40" s="178"/>
      <x:c r="J40" s="178"/>
      <x:c r="K40" s="178"/>
      <x:c r="L40" s="178"/>
      <x:c r="M40" s="178"/>
      <x:c r="N40" s="178"/>
      <x:c r="O40" s="178"/>
      <x:c r="P40" s="178"/>
      <x:c r="Q40" s="178"/>
      <x:c r="R40" s="178"/>
      <x:c r="S40" s="178"/>
      <x:c r="T40" s="178"/>
      <x:c r="U40" s="178"/>
      <x:c r="V40" s="178"/>
      <x:c r="W40" s="178"/>
      <x:c r="X40" s="178"/>
      <x:c r="Y40" s="178"/>
      <x:c r="Z40" s="178"/>
    </x:row>
    <x:row r="41">
      <x:c r="A41" s="196" t="str">
        <x:v>  SUM(total_deaths) AS total_deaths,</x:v>
      </x:c>
      <x:c r="B41" s="178"/>
      <x:c r="C41" s="178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8"/>
      <x:c r="N41" s="178"/>
      <x:c r="O41" s="178"/>
      <x:c r="P41" s="178"/>
      <x:c r="Q41" s="178"/>
      <x:c r="R41" s="178"/>
      <x:c r="S41" s="178"/>
      <x:c r="T41" s="178"/>
      <x:c r="U41" s="178"/>
      <x:c r="V41" s="178"/>
      <x:c r="W41" s="178"/>
      <x:c r="X41" s="178"/>
      <x:c r="Y41" s="178"/>
      <x:c r="Z41" s="178"/>
    </x:row>
    <x:row r="42">
      <x:c r="A42" s="196" t="str">
        <x:v>  SUM(total_deaths) * 1.0 / NULLIF(SUM(total_cases), 0) AS case_fatality_rate</x:v>
      </x:c>
      <x:c r="B42" s="178"/>
      <x:c r="C42" s="178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8"/>
      <x:c r="N42" s="178"/>
      <x:c r="O42" s="178"/>
      <x:c r="P42" s="178"/>
      <x:c r="Q42" s="178"/>
      <x:c r="R42" s="178"/>
      <x:c r="S42" s="178"/>
      <x:c r="T42" s="178"/>
      <x:c r="U42" s="178"/>
      <x:c r="V42" s="178"/>
      <x:c r="W42" s="178"/>
      <x:c r="X42" s="178"/>
      <x:c r="Y42" s="178"/>
      <x:c r="Z42" s="178"/>
    </x:row>
    <x:row r="43">
      <x:c r="A43" s="196" t="str">
        <x:v>FROM latest_country</x:v>
      </x:c>
      <x:c r="B43" s="178"/>
      <x:c r="C43" s="178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8"/>
      <x:c r="N43" s="178"/>
      <x:c r="O43" s="178"/>
      <x:c r="P43" s="178"/>
      <x:c r="Q43" s="178"/>
      <x:c r="R43" s="178"/>
      <x:c r="S43" s="178"/>
      <x:c r="T43" s="178"/>
      <x:c r="U43" s="178"/>
      <x:c r="V43" s="178"/>
      <x:c r="W43" s="178"/>
      <x:c r="X43" s="178"/>
      <x:c r="Y43" s="178"/>
      <x:c r="Z43" s="178"/>
    </x:row>
    <x:row r="44">
      <x:c r="A44" s="196" t="str">
        <x:v>GROUP BY WHO_region</x:v>
      </x:c>
      <x:c r="B44" s="178"/>
      <x:c r="C44" s="178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8"/>
      <x:c r="N44" s="178"/>
      <x:c r="O44" s="178"/>
      <x:c r="P44" s="178"/>
      <x:c r="Q44" s="178"/>
      <x:c r="R44" s="178"/>
      <x:c r="S44" s="178"/>
      <x:c r="T44" s="178"/>
      <x:c r="U44" s="178"/>
      <x:c r="V44" s="178"/>
      <x:c r="W44" s="178"/>
      <x:c r="X44" s="178"/>
      <x:c r="Y44" s="178"/>
      <x:c r="Z44" s="178"/>
    </x:row>
    <x:row r="45">
      <x:c r="A45" s="196" t="str">
        <x:v>ORDER BY total_deaths DESC;</x:v>
      </x:c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8"/>
      <x:c r="N45" s="178"/>
      <x:c r="O45" s="178"/>
      <x:c r="P45" s="178"/>
      <x:c r="Q45" s="178"/>
      <x:c r="R45" s="178"/>
      <x:c r="S45" s="178"/>
      <x:c r="T45" s="178"/>
      <x:c r="U45" s="178"/>
      <x:c r="V45" s="178"/>
      <x:c r="W45" s="178"/>
      <x:c r="X45" s="178"/>
      <x:c r="Y45" s="178"/>
      <x:c r="Z45" s="178"/>
    </x:row>
    <x:row r="46">
      <x:c r="A46" s="196" t="str"/>
      <x:c r="B46" s="178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8"/>
      <x:c r="N46" s="178"/>
      <x:c r="O46" s="178"/>
      <x:c r="P46" s="178"/>
      <x:c r="Q46" s="178"/>
      <x:c r="R46" s="178"/>
      <x:c r="S46" s="178"/>
      <x:c r="T46" s="178"/>
      <x:c r="U46" s="178"/>
      <x:c r="V46" s="178"/>
      <x:c r="W46" s="178"/>
      <x:c r="X46" s="178"/>
      <x:c r="Y46" s="178"/>
      <x:c r="Z46" s="178"/>
    </x:row>
    <x:row r="47">
      <x:c r="A47" s="196" t="str">
        <x:v>-- 4. Zimbabwe monthly trend</x:v>
      </x:c>
      <x:c r="B47" s="178"/>
      <x:c r="C47" s="178"/>
      <x:c r="D47" s="178"/>
      <x:c r="E47" s="178"/>
      <x:c r="F47" s="178"/>
      <x:c r="G47" s="178"/>
      <x:c r="H47" s="178"/>
      <x:c r="I47" s="178"/>
      <x:c r="J47" s="178"/>
      <x:c r="K47" s="178"/>
      <x:c r="L47" s="178"/>
      <x:c r="M47" s="178"/>
      <x:c r="N47" s="178"/>
      <x:c r="O47" s="178"/>
      <x:c r="P47" s="178"/>
      <x:c r="Q47" s="178"/>
      <x:c r="R47" s="178"/>
      <x:c r="S47" s="178"/>
      <x:c r="T47" s="178"/>
      <x:c r="U47" s="178"/>
      <x:c r="V47" s="178"/>
      <x:c r="W47" s="178"/>
      <x:c r="X47" s="178"/>
      <x:c r="Y47" s="178"/>
      <x:c r="Z47" s="178"/>
    </x:row>
    <x:row r="48">
      <x:c r="A48" s="196" t="str">
        <x:v>SELECT</x:v>
      </x:c>
      <x:c r="B48" s="178"/>
      <x:c r="C48" s="178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8"/>
      <x:c r="N48" s="178"/>
      <x:c r="O48" s="178"/>
      <x:c r="P48" s="178"/>
      <x:c r="Q48" s="178"/>
      <x:c r="R48" s="178"/>
      <x:c r="S48" s="178"/>
      <x:c r="T48" s="178"/>
      <x:c r="U48" s="178"/>
      <x:c r="V48" s="178"/>
      <x:c r="W48" s="178"/>
      <x:c r="X48" s="178"/>
      <x:c r="Y48" s="178"/>
      <x:c r="Z48" s="178"/>
    </x:row>
    <x:row r="49">
      <x:c r="A49" s="196" t="str">
        <x:v>  DATEFROMPARTS(YEAR(Date_reported), MONTH(Date_reported), 1) AS month_start,</x:v>
      </x:c>
      <x:c r="B49" s="178"/>
      <x:c r="C49" s="178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8"/>
      <x:c r="N49" s="178"/>
      <x:c r="O49" s="178"/>
      <x:c r="P49" s="178"/>
      <x:c r="Q49" s="178"/>
      <x:c r="R49" s="178"/>
      <x:c r="S49" s="178"/>
      <x:c r="T49" s="178"/>
      <x:c r="U49" s="178"/>
      <x:c r="V49" s="178"/>
      <x:c r="W49" s="178"/>
      <x:c r="X49" s="178"/>
      <x:c r="Y49" s="178"/>
      <x:c r="Z49" s="178"/>
    </x:row>
    <x:row r="50">
      <x:c r="A50" s="196" t="str">
        <x:v>  SUM(New_cases) AS monthly_new_cases,</x:v>
      </x:c>
      <x:c r="B50" s="178"/>
      <x:c r="C50" s="178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8"/>
      <x:c r="N50" s="178"/>
      <x:c r="O50" s="178"/>
      <x:c r="P50" s="178"/>
      <x:c r="Q50" s="178"/>
      <x:c r="R50" s="178"/>
      <x:c r="S50" s="178"/>
      <x:c r="T50" s="178"/>
      <x:c r="U50" s="178"/>
      <x:c r="V50" s="178"/>
      <x:c r="W50" s="178"/>
      <x:c r="X50" s="178"/>
      <x:c r="Y50" s="178"/>
      <x:c r="Z50" s="178"/>
    </x:row>
    <x:row r="51">
      <x:c r="A51" s="196" t="str">
        <x:v>  SUM(New_deaths) AS monthly_new_deaths,</x:v>
      </x:c>
      <x:c r="B51" s="178"/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8"/>
      <x:c r="N51" s="178"/>
      <x:c r="O51" s="178"/>
      <x:c r="P51" s="178"/>
      <x:c r="Q51" s="178"/>
      <x:c r="R51" s="178"/>
      <x:c r="S51" s="178"/>
      <x:c r="T51" s="178"/>
      <x:c r="U51" s="178"/>
      <x:c r="V51" s="178"/>
      <x:c r="W51" s="178"/>
      <x:c r="X51" s="178"/>
      <x:c r="Y51" s="178"/>
      <x:c r="Z51" s="178"/>
    </x:row>
    <x:row r="52">
      <x:c r="A52" s="196" t="str">
        <x:v>  MAX(Cumulative_cases) AS cumulative_cases,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N52" s="178"/>
      <x:c r="O52" s="178"/>
      <x:c r="P52" s="178"/>
      <x:c r="Q52" s="178"/>
      <x:c r="R52" s="178"/>
      <x:c r="S52" s="178"/>
      <x:c r="T52" s="178"/>
      <x:c r="U52" s="178"/>
      <x:c r="V52" s="178"/>
      <x:c r="W52" s="178"/>
      <x:c r="X52" s="178"/>
      <x:c r="Y52" s="178"/>
      <x:c r="Z52" s="178"/>
    </x:row>
    <x:row r="53">
      <x:c r="A53" s="196" t="str">
        <x:v>  MAX(Cumulative_deaths) AS cumulative_deaths</x:v>
      </x:c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8"/>
      <x:c r="N53" s="178"/>
      <x:c r="O53" s="178"/>
      <x:c r="P53" s="178"/>
      <x:c r="Q53" s="178"/>
      <x:c r="R53" s="178"/>
      <x:c r="S53" s="178"/>
      <x:c r="T53" s="178"/>
      <x:c r="U53" s="178"/>
      <x:c r="V53" s="178"/>
      <x:c r="W53" s="178"/>
      <x:c r="X53" s="178"/>
      <x:c r="Y53" s="178"/>
      <x:c r="Z53" s="178"/>
    </x:row>
    <x:row r="54">
      <x:c r="A54" s="196" t="str">
        <x:v>FROM who_covid_global_data</x:v>
      </x:c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8"/>
      <x:c r="N54" s="178"/>
      <x:c r="O54" s="178"/>
      <x:c r="P54" s="178"/>
      <x:c r="Q54" s="178"/>
      <x:c r="R54" s="178"/>
      <x:c r="S54" s="178"/>
      <x:c r="T54" s="178"/>
      <x:c r="U54" s="178"/>
      <x:c r="V54" s="178"/>
      <x:c r="W54" s="178"/>
      <x:c r="X54" s="178"/>
      <x:c r="Y54" s="178"/>
      <x:c r="Z54" s="178"/>
    </x:row>
    <x:row r="55">
      <x:c r="A55" s="196" t="str">
        <x:v>WHERE Country = 'Zimbabwe'</x:v>
      </x:c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8"/>
      <x:c r="N55" s="178"/>
      <x:c r="O55" s="178"/>
      <x:c r="P55" s="178"/>
      <x:c r="Q55" s="178"/>
      <x:c r="R55" s="178"/>
      <x:c r="S55" s="178"/>
      <x:c r="T55" s="178"/>
      <x:c r="U55" s="178"/>
      <x:c r="V55" s="178"/>
      <x:c r="W55" s="178"/>
      <x:c r="X55" s="178"/>
      <x:c r="Y55" s="178"/>
      <x:c r="Z55" s="178"/>
    </x:row>
    <x:row r="56">
      <x:c r="A56" s="196" t="str">
        <x:v>GROUP BY YEAR(Date_reported), MONTH(Date_reported)</x:v>
      </x:c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8"/>
      <x:c r="N56" s="178"/>
      <x:c r="O56" s="178"/>
      <x:c r="P56" s="178"/>
      <x:c r="Q56" s="178"/>
      <x:c r="R56" s="178"/>
      <x:c r="S56" s="178"/>
      <x:c r="T56" s="178"/>
      <x:c r="U56" s="178"/>
      <x:c r="V56" s="178"/>
      <x:c r="W56" s="178"/>
      <x:c r="X56" s="178"/>
      <x:c r="Y56" s="178"/>
      <x:c r="Z56" s="178"/>
    </x:row>
    <x:row r="57">
      <x:c r="A57" s="196" t="str">
        <x:v>ORDER BY month_start;</x:v>
      </x:c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8"/>
      <x:c r="N57" s="178"/>
      <x:c r="O57" s="178"/>
      <x:c r="P57" s="178"/>
      <x:c r="Q57" s="178"/>
      <x:c r="R57" s="178"/>
      <x:c r="S57" s="178"/>
      <x:c r="T57" s="178"/>
      <x:c r="U57" s="178"/>
      <x:c r="V57" s="178"/>
      <x:c r="W57" s="178"/>
      <x:c r="X57" s="178"/>
      <x:c r="Y57" s="178"/>
      <x:c r="Z57" s="178"/>
    </x:row>
    <x:row r="58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8"/>
      <x:c r="Q58" s="178"/>
      <x:c r="R58" s="178"/>
      <x:c r="S58" s="178"/>
      <x:c r="T58" s="178"/>
      <x:c r="U58" s="178"/>
      <x:c r="V58" s="178"/>
      <x:c r="W58" s="178"/>
      <x:c r="X58" s="178"/>
      <x:c r="Y58" s="178"/>
      <x:c r="Z58" s="178"/>
    </x:row>
    <x:row r="59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8"/>
      <x:c r="N59" s="178"/>
      <x:c r="O59" s="178"/>
      <x:c r="P59" s="178"/>
      <x:c r="Q59" s="178"/>
      <x:c r="R59" s="178"/>
      <x:c r="S59" s="178"/>
      <x:c r="T59" s="178"/>
      <x:c r="U59" s="178"/>
      <x:c r="V59" s="178"/>
      <x:c r="W59" s="178"/>
      <x:c r="X59" s="178"/>
      <x:c r="Y59" s="178"/>
      <x:c r="Z59" s="178"/>
    </x:row>
    <x:row r="60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8"/>
      <x:c r="N60" s="178"/>
      <x:c r="O60" s="178"/>
      <x:c r="P60" s="178"/>
      <x:c r="Q60" s="178"/>
      <x:c r="R60" s="178"/>
      <x:c r="S60" s="178"/>
      <x:c r="T60" s="178"/>
      <x:c r="U60" s="178"/>
      <x:c r="V60" s="178"/>
      <x:c r="W60" s="178"/>
      <x:c r="X60" s="178"/>
      <x:c r="Y60" s="178"/>
      <x:c r="Z60" s="178"/>
    </x:row>
    <x:row r="61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8"/>
      <x:c r="N61" s="178"/>
      <x:c r="O61" s="178"/>
      <x:c r="P61" s="178"/>
      <x:c r="Q61" s="178"/>
      <x:c r="R61" s="178"/>
      <x:c r="S61" s="178"/>
      <x:c r="T61" s="178"/>
      <x:c r="U61" s="178"/>
      <x:c r="V61" s="178"/>
      <x:c r="W61" s="178"/>
      <x:c r="X61" s="178"/>
      <x:c r="Y61" s="178"/>
      <x:c r="Z61" s="178"/>
    </x:row>
    <x:row r="62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8"/>
      <x:c r="N62" s="178"/>
      <x:c r="O62" s="178"/>
      <x:c r="P62" s="178"/>
      <x:c r="Q62" s="178"/>
      <x:c r="R62" s="178"/>
      <x:c r="S62" s="178"/>
      <x:c r="T62" s="178"/>
      <x:c r="U62" s="178"/>
      <x:c r="V62" s="178"/>
      <x:c r="W62" s="178"/>
      <x:c r="X62" s="178"/>
      <x:c r="Y62" s="178"/>
      <x:c r="Z62" s="178"/>
    </x:row>
    <x:row r="63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8"/>
      <x:c r="N63" s="178"/>
      <x:c r="O63" s="178"/>
      <x:c r="P63" s="178"/>
      <x:c r="Q63" s="178"/>
      <x:c r="R63" s="178"/>
      <x:c r="S63" s="178"/>
      <x:c r="T63" s="178"/>
      <x:c r="U63" s="178"/>
      <x:c r="V63" s="178"/>
      <x:c r="W63" s="178"/>
      <x:c r="X63" s="178"/>
      <x:c r="Y63" s="178"/>
      <x:c r="Z63" s="178"/>
    </x:row>
    <x:row r="64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8"/>
      <x:c r="N64" s="178"/>
      <x:c r="O64" s="178"/>
      <x:c r="P64" s="178"/>
      <x:c r="Q64" s="178"/>
      <x:c r="R64" s="178"/>
      <x:c r="S64" s="178"/>
      <x:c r="T64" s="178"/>
      <x:c r="U64" s="178"/>
      <x:c r="V64" s="178"/>
      <x:c r="W64" s="178"/>
      <x:c r="X64" s="178"/>
      <x:c r="Y64" s="178"/>
      <x:c r="Z64" s="178"/>
    </x:row>
    <x:row r="6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8"/>
      <x:c r="N65" s="178"/>
      <x:c r="O65" s="178"/>
      <x:c r="P65" s="178"/>
      <x:c r="Q65" s="178"/>
      <x:c r="R65" s="178"/>
      <x:c r="S65" s="178"/>
      <x:c r="T65" s="178"/>
      <x:c r="U65" s="178"/>
      <x:c r="V65" s="178"/>
      <x:c r="W65" s="178"/>
      <x:c r="X65" s="178"/>
      <x:c r="Y65" s="178"/>
      <x:c r="Z65" s="178"/>
    </x:row>
    <x:row r="66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8"/>
      <x:c r="N66" s="178"/>
      <x:c r="O66" s="178"/>
      <x:c r="P66" s="178"/>
      <x:c r="Q66" s="178"/>
      <x:c r="R66" s="178"/>
      <x:c r="S66" s="178"/>
      <x:c r="T66" s="178"/>
      <x:c r="U66" s="178"/>
      <x:c r="V66" s="178"/>
      <x:c r="W66" s="178"/>
      <x:c r="X66" s="178"/>
      <x:c r="Y66" s="178"/>
      <x:c r="Z66" s="178"/>
    </x:row>
    <x:row r="67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8"/>
      <x:c r="N67" s="178"/>
      <x:c r="O67" s="178"/>
      <x:c r="P67" s="178"/>
      <x:c r="Q67" s="178"/>
      <x:c r="R67" s="178"/>
      <x:c r="S67" s="178"/>
      <x:c r="T67" s="178"/>
      <x:c r="U67" s="178"/>
      <x:c r="V67" s="178"/>
      <x:c r="W67" s="178"/>
      <x:c r="X67" s="178"/>
      <x:c r="Y67" s="178"/>
      <x:c r="Z67" s="178"/>
    </x:row>
    <x:row r="68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8"/>
      <x:c r="N68" s="178"/>
      <x:c r="O68" s="178"/>
      <x:c r="P68" s="178"/>
      <x:c r="Q68" s="178"/>
      <x:c r="R68" s="178"/>
      <x:c r="S68" s="178"/>
      <x:c r="T68" s="178"/>
      <x:c r="U68" s="178"/>
      <x:c r="V68" s="178"/>
      <x:c r="W68" s="178"/>
      <x:c r="X68" s="178"/>
      <x:c r="Y68" s="178"/>
      <x:c r="Z68" s="178"/>
    </x:row>
    <x:row r="69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8"/>
      <x:c r="N69" s="178"/>
      <x:c r="O69" s="178"/>
      <x:c r="P69" s="178"/>
      <x:c r="Q69" s="178"/>
      <x:c r="R69" s="178"/>
      <x:c r="S69" s="178"/>
      <x:c r="T69" s="178"/>
      <x:c r="U69" s="178"/>
      <x:c r="V69" s="178"/>
      <x:c r="W69" s="178"/>
      <x:c r="X69" s="178"/>
      <x:c r="Y69" s="178"/>
      <x:c r="Z69" s="178"/>
    </x:row>
    <x:row r="70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8"/>
      <x:c r="N70" s="178"/>
      <x:c r="O70" s="178"/>
      <x:c r="P70" s="178"/>
      <x:c r="Q70" s="178"/>
      <x:c r="R70" s="178"/>
      <x:c r="S70" s="178"/>
      <x:c r="T70" s="178"/>
      <x:c r="U70" s="178"/>
      <x:c r="V70" s="178"/>
      <x:c r="W70" s="178"/>
      <x:c r="X70" s="178"/>
      <x:c r="Y70" s="178"/>
      <x:c r="Z70" s="178"/>
    </x:row>
    <x:row r="71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8"/>
      <x:c r="N71" s="178"/>
      <x:c r="O71" s="178"/>
      <x:c r="P71" s="178"/>
      <x:c r="Q71" s="178"/>
      <x:c r="R71" s="178"/>
      <x:c r="S71" s="178"/>
      <x:c r="T71" s="178"/>
      <x:c r="U71" s="178"/>
      <x:c r="V71" s="178"/>
      <x:c r="W71" s="178"/>
      <x:c r="X71" s="178"/>
      <x:c r="Y71" s="178"/>
      <x:c r="Z71" s="178"/>
    </x:row>
    <x:row r="72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8"/>
      <x:c r="N72" s="178"/>
      <x:c r="O72" s="178"/>
      <x:c r="P72" s="178"/>
      <x:c r="Q72" s="178"/>
      <x:c r="R72" s="178"/>
      <x:c r="S72" s="178"/>
      <x:c r="T72" s="178"/>
      <x:c r="U72" s="178"/>
      <x:c r="V72" s="178"/>
      <x:c r="W72" s="178"/>
      <x:c r="X72" s="178"/>
      <x:c r="Y72" s="178"/>
      <x:c r="Z72" s="178"/>
    </x:row>
    <x:row r="73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8"/>
      <x:c r="N73" s="178"/>
      <x:c r="O73" s="178"/>
      <x:c r="P73" s="178"/>
      <x:c r="Q73" s="178"/>
      <x:c r="R73" s="178"/>
      <x:c r="S73" s="178"/>
      <x:c r="T73" s="178"/>
      <x:c r="U73" s="178"/>
      <x:c r="V73" s="178"/>
      <x:c r="W73" s="178"/>
      <x:c r="X73" s="178"/>
      <x:c r="Y73" s="178"/>
      <x:c r="Z73" s="178"/>
    </x:row>
    <x:row r="74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8"/>
      <x:c r="N74" s="178"/>
      <x:c r="O74" s="178"/>
      <x:c r="P74" s="178"/>
      <x:c r="Q74" s="178"/>
      <x:c r="R74" s="178"/>
      <x:c r="S74" s="178"/>
      <x:c r="T74" s="178"/>
      <x:c r="U74" s="178"/>
      <x:c r="V74" s="178"/>
      <x:c r="W74" s="178"/>
      <x:c r="X74" s="178"/>
      <x:c r="Y74" s="178"/>
      <x:c r="Z74" s="178"/>
    </x:row>
    <x:row r="7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8"/>
      <x:c r="N75" s="178"/>
      <x:c r="O75" s="178"/>
      <x:c r="P75" s="178"/>
      <x:c r="Q75" s="178"/>
      <x:c r="R75" s="178"/>
      <x:c r="S75" s="178"/>
      <x:c r="T75" s="178"/>
      <x:c r="U75" s="178"/>
      <x:c r="V75" s="178"/>
      <x:c r="W75" s="178"/>
      <x:c r="X75" s="178"/>
      <x:c r="Y75" s="178"/>
      <x:c r="Z75" s="178"/>
    </x:row>
    <x:row r="76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8"/>
      <x:c r="N76" s="178"/>
      <x:c r="O76" s="178"/>
      <x:c r="P76" s="178"/>
      <x:c r="Q76" s="178"/>
      <x:c r="R76" s="178"/>
      <x:c r="S76" s="178"/>
      <x:c r="T76" s="178"/>
      <x:c r="U76" s="178"/>
      <x:c r="V76" s="178"/>
      <x:c r="W76" s="178"/>
      <x:c r="X76" s="178"/>
      <x:c r="Y76" s="178"/>
      <x:c r="Z76" s="178"/>
    </x:row>
    <x:row r="77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8"/>
      <x:c r="N77" s="178"/>
      <x:c r="O77" s="178"/>
      <x:c r="P77" s="178"/>
      <x:c r="Q77" s="178"/>
      <x:c r="R77" s="178"/>
      <x:c r="S77" s="178"/>
      <x:c r="T77" s="178"/>
      <x:c r="U77" s="178"/>
      <x:c r="V77" s="178"/>
      <x:c r="W77" s="178"/>
      <x:c r="X77" s="178"/>
      <x:c r="Y77" s="178"/>
      <x:c r="Z77" s="178"/>
    </x:row>
    <x:row r="78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8"/>
      <x:c r="N78" s="178"/>
      <x:c r="O78" s="178"/>
      <x:c r="P78" s="178"/>
      <x:c r="Q78" s="178"/>
      <x:c r="R78" s="178"/>
      <x:c r="S78" s="178"/>
      <x:c r="T78" s="178"/>
      <x:c r="U78" s="178"/>
      <x:c r="V78" s="178"/>
      <x:c r="W78" s="178"/>
      <x:c r="X78" s="178"/>
      <x:c r="Y78" s="178"/>
      <x:c r="Z78" s="178"/>
    </x:row>
    <x:row r="79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8"/>
      <x:c r="N79" s="178"/>
      <x:c r="O79" s="178"/>
      <x:c r="P79" s="178"/>
      <x:c r="Q79" s="178"/>
      <x:c r="R79" s="178"/>
      <x:c r="S79" s="178"/>
      <x:c r="T79" s="178"/>
      <x:c r="U79" s="178"/>
      <x:c r="V79" s="178"/>
      <x:c r="W79" s="178"/>
      <x:c r="X79" s="178"/>
      <x:c r="Y79" s="178"/>
      <x:c r="Z79" s="178"/>
    </x:row>
    <x:row r="80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8"/>
      <x:c r="N80" s="178"/>
      <x:c r="O80" s="178"/>
      <x:c r="P80" s="178"/>
      <x:c r="Q80" s="178"/>
      <x:c r="R80" s="178"/>
      <x:c r="S80" s="178"/>
      <x:c r="T80" s="178"/>
      <x:c r="U80" s="178"/>
      <x:c r="V80" s="178"/>
      <x:c r="W80" s="178"/>
      <x:c r="X80" s="178"/>
      <x:c r="Y80" s="178"/>
      <x:c r="Z80" s="178"/>
    </x:row>
    <x:row r="81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8"/>
      <x:c r="N81" s="178"/>
      <x:c r="O81" s="178"/>
      <x:c r="P81" s="178"/>
      <x:c r="Q81" s="178"/>
      <x:c r="R81" s="178"/>
      <x:c r="S81" s="178"/>
      <x:c r="T81" s="178"/>
      <x:c r="U81" s="178"/>
      <x:c r="V81" s="178"/>
      <x:c r="W81" s="178"/>
      <x:c r="X81" s="178"/>
      <x:c r="Y81" s="178"/>
      <x:c r="Z81" s="178"/>
    </x:row>
    <x:row r="82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8"/>
      <x:c r="N82" s="178"/>
      <x:c r="O82" s="178"/>
      <x:c r="P82" s="178"/>
      <x:c r="Q82" s="178"/>
      <x:c r="R82" s="178"/>
      <x:c r="S82" s="178"/>
      <x:c r="T82" s="178"/>
      <x:c r="U82" s="178"/>
      <x:c r="V82" s="178"/>
      <x:c r="W82" s="178"/>
      <x:c r="X82" s="178"/>
      <x:c r="Y82" s="178"/>
      <x:c r="Z82" s="178"/>
    </x:row>
    <x:row r="83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8"/>
      <x:c r="N83" s="178"/>
      <x:c r="O83" s="178"/>
      <x:c r="P83" s="178"/>
      <x:c r="Q83" s="178"/>
      <x:c r="R83" s="178"/>
      <x:c r="S83" s="178"/>
      <x:c r="T83" s="178"/>
      <x:c r="U83" s="178"/>
      <x:c r="V83" s="178"/>
      <x:c r="W83" s="178"/>
      <x:c r="X83" s="178"/>
      <x:c r="Y83" s="178"/>
      <x:c r="Z83" s="178"/>
    </x:row>
    <x:row r="84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8"/>
      <x:c r="N84" s="178"/>
      <x:c r="O84" s="178"/>
      <x:c r="P84" s="178"/>
      <x:c r="Q84" s="178"/>
      <x:c r="R84" s="178"/>
      <x:c r="S84" s="178"/>
      <x:c r="T84" s="178"/>
      <x:c r="U84" s="178"/>
      <x:c r="V84" s="178"/>
      <x:c r="W84" s="178"/>
      <x:c r="X84" s="178"/>
      <x:c r="Y84" s="178"/>
      <x:c r="Z84" s="178"/>
    </x:row>
    <x:row r="8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8"/>
      <x:c r="N85" s="178"/>
      <x:c r="O85" s="178"/>
      <x:c r="P85" s="178"/>
      <x:c r="Q85" s="178"/>
      <x:c r="R85" s="178"/>
      <x:c r="S85" s="178"/>
      <x:c r="T85" s="178"/>
      <x:c r="U85" s="178"/>
      <x:c r="V85" s="178"/>
      <x:c r="W85" s="178"/>
      <x:c r="X85" s="178"/>
      <x:c r="Y85" s="178"/>
      <x:c r="Z85" s="178"/>
    </x:row>
    <x:row r="86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8"/>
      <x:c r="N86" s="178"/>
      <x:c r="O86" s="178"/>
      <x:c r="P86" s="178"/>
      <x:c r="Q86" s="178"/>
      <x:c r="R86" s="178"/>
      <x:c r="S86" s="178"/>
      <x:c r="T86" s="178"/>
      <x:c r="U86" s="178"/>
      <x:c r="V86" s="178"/>
      <x:c r="W86" s="178"/>
      <x:c r="X86" s="178"/>
      <x:c r="Y86" s="178"/>
      <x:c r="Z86" s="178"/>
    </x:row>
    <x:row r="87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8"/>
      <x:c r="N87" s="178"/>
      <x:c r="O87" s="178"/>
      <x:c r="P87" s="178"/>
      <x:c r="Q87" s="178"/>
      <x:c r="R87" s="178"/>
      <x:c r="S87" s="178"/>
      <x:c r="T87" s="178"/>
      <x:c r="U87" s="178"/>
      <x:c r="V87" s="178"/>
      <x:c r="W87" s="178"/>
      <x:c r="X87" s="178"/>
      <x:c r="Y87" s="178"/>
      <x:c r="Z87" s="178"/>
    </x:row>
    <x:row r="88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8"/>
      <x:c r="N88" s="178"/>
      <x:c r="O88" s="178"/>
      <x:c r="P88" s="178"/>
      <x:c r="Q88" s="178"/>
      <x:c r="R88" s="178"/>
      <x:c r="S88" s="178"/>
      <x:c r="T88" s="178"/>
      <x:c r="U88" s="178"/>
      <x:c r="V88" s="178"/>
      <x:c r="W88" s="178"/>
      <x:c r="X88" s="178"/>
      <x:c r="Y88" s="178"/>
      <x:c r="Z88" s="178"/>
    </x:row>
    <x:row r="89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8"/>
      <x:c r="N89" s="178"/>
      <x:c r="O89" s="178"/>
      <x:c r="P89" s="178"/>
      <x:c r="Q89" s="178"/>
      <x:c r="R89" s="178"/>
      <x:c r="S89" s="178"/>
      <x:c r="T89" s="178"/>
      <x:c r="U89" s="178"/>
      <x:c r="V89" s="178"/>
      <x:c r="W89" s="178"/>
      <x:c r="X89" s="178"/>
      <x:c r="Y89" s="178"/>
      <x:c r="Z89" s="178"/>
    </x:row>
    <x:row r="90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8"/>
      <x:c r="N90" s="178"/>
      <x:c r="O90" s="178"/>
      <x:c r="P90" s="178"/>
      <x:c r="Q90" s="178"/>
      <x:c r="R90" s="178"/>
      <x:c r="S90" s="178"/>
      <x:c r="T90" s="178"/>
      <x:c r="U90" s="178"/>
      <x:c r="V90" s="178"/>
      <x:c r="W90" s="178"/>
      <x:c r="X90" s="178"/>
      <x:c r="Y90" s="178"/>
      <x:c r="Z90" s="178"/>
    </x:row>
    <x:row r="91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8"/>
      <x:c r="N91" s="178"/>
      <x:c r="O91" s="178"/>
      <x:c r="P91" s="178"/>
      <x:c r="Q91" s="178"/>
      <x:c r="R91" s="178"/>
      <x:c r="S91" s="178"/>
      <x:c r="T91" s="178"/>
      <x:c r="U91" s="178"/>
      <x:c r="V91" s="178"/>
      <x:c r="W91" s="178"/>
      <x:c r="X91" s="178"/>
      <x:c r="Y91" s="178"/>
      <x:c r="Z91" s="178"/>
    </x:row>
    <x:row r="92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8"/>
      <x:c r="N92" s="178"/>
      <x:c r="O92" s="178"/>
      <x:c r="P92" s="178"/>
      <x:c r="Q92" s="178"/>
      <x:c r="R92" s="178"/>
      <x:c r="S92" s="178"/>
      <x:c r="T92" s="178"/>
      <x:c r="U92" s="178"/>
      <x:c r="V92" s="178"/>
      <x:c r="W92" s="178"/>
      <x:c r="X92" s="178"/>
      <x:c r="Y92" s="178"/>
      <x:c r="Z92" s="178"/>
    </x:row>
    <x:row r="93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8"/>
      <x:c r="N93" s="178"/>
      <x:c r="O93" s="178"/>
      <x:c r="P93" s="178"/>
      <x:c r="Q93" s="178"/>
      <x:c r="R93" s="178"/>
      <x:c r="S93" s="178"/>
      <x:c r="T93" s="178"/>
      <x:c r="U93" s="178"/>
      <x:c r="V93" s="178"/>
      <x:c r="W93" s="178"/>
      <x:c r="X93" s="178"/>
      <x:c r="Y93" s="178"/>
      <x:c r="Z93" s="178"/>
    </x:row>
    <x:row r="94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8"/>
      <x:c r="N94" s="178"/>
      <x:c r="O94" s="178"/>
      <x:c r="P94" s="178"/>
      <x:c r="Q94" s="178"/>
      <x:c r="R94" s="178"/>
      <x:c r="S94" s="178"/>
      <x:c r="T94" s="178"/>
      <x:c r="U94" s="178"/>
      <x:c r="V94" s="178"/>
      <x:c r="W94" s="178"/>
      <x:c r="X94" s="178"/>
      <x:c r="Y94" s="178"/>
      <x:c r="Z94" s="178"/>
    </x:row>
    <x:row r="9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8"/>
      <x:c r="N95" s="178"/>
      <x:c r="O95" s="178"/>
      <x:c r="P95" s="178"/>
      <x:c r="Q95" s="178"/>
      <x:c r="R95" s="178"/>
      <x:c r="S95" s="178"/>
      <x:c r="T95" s="178"/>
      <x:c r="U95" s="178"/>
      <x:c r="V95" s="178"/>
      <x:c r="W95" s="178"/>
      <x:c r="X95" s="178"/>
      <x:c r="Y95" s="178"/>
      <x:c r="Z95" s="178"/>
    </x:row>
    <x:row r="96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8"/>
      <x:c r="N96" s="178"/>
      <x:c r="O96" s="178"/>
      <x:c r="P96" s="178"/>
      <x:c r="Q96" s="178"/>
      <x:c r="R96" s="178"/>
      <x:c r="S96" s="178"/>
      <x:c r="T96" s="178"/>
      <x:c r="U96" s="178"/>
      <x:c r="V96" s="178"/>
      <x:c r="W96" s="178"/>
      <x:c r="X96" s="178"/>
      <x:c r="Y96" s="178"/>
      <x:c r="Z96" s="178"/>
    </x:row>
    <x:row r="97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8"/>
      <x:c r="N97" s="178"/>
      <x:c r="O97" s="178"/>
      <x:c r="P97" s="178"/>
      <x:c r="Q97" s="178"/>
      <x:c r="R97" s="178"/>
      <x:c r="S97" s="178"/>
      <x:c r="T97" s="178"/>
      <x:c r="U97" s="178"/>
      <x:c r="V97" s="178"/>
      <x:c r="W97" s="178"/>
      <x:c r="X97" s="178"/>
      <x:c r="Y97" s="178"/>
      <x:c r="Z97" s="178"/>
    </x:row>
    <x:row r="98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8"/>
      <x:c r="N98" s="178"/>
      <x:c r="O98" s="178"/>
      <x:c r="P98" s="178"/>
      <x:c r="Q98" s="178"/>
      <x:c r="R98" s="178"/>
      <x:c r="S98" s="178"/>
      <x:c r="T98" s="178"/>
      <x:c r="U98" s="178"/>
      <x:c r="V98" s="178"/>
      <x:c r="W98" s="178"/>
      <x:c r="X98" s="178"/>
      <x:c r="Y98" s="178"/>
      <x:c r="Z98" s="178"/>
    </x:row>
    <x:row r="99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8"/>
      <x:c r="N99" s="178"/>
      <x:c r="O99" s="178"/>
      <x:c r="P99" s="178"/>
      <x:c r="Q99" s="178"/>
      <x:c r="R99" s="178"/>
      <x:c r="S99" s="178"/>
      <x:c r="T99" s="178"/>
      <x:c r="U99" s="178"/>
      <x:c r="V99" s="178"/>
      <x:c r="W99" s="178"/>
      <x:c r="X99" s="178"/>
      <x:c r="Y99" s="178"/>
      <x:c r="Z99" s="178"/>
    </x:row>
    <x:row r="100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8"/>
      <x:c r="N100" s="178"/>
      <x:c r="O100" s="178"/>
      <x:c r="P100" s="178"/>
      <x:c r="Q100" s="178"/>
      <x:c r="R100" s="178"/>
      <x:c r="S100" s="178"/>
      <x:c r="T100" s="178"/>
      <x:c r="U100" s="178"/>
      <x:c r="V100" s="178"/>
      <x:c r="W100" s="178"/>
      <x:c r="X100" s="178"/>
      <x:c r="Y100" s="178"/>
      <x:c r="Z100" s="178"/>
    </x:row>
    <x:row r="101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8"/>
      <x:c r="N101" s="178"/>
      <x:c r="O101" s="178"/>
      <x:c r="P101" s="178"/>
      <x:c r="Q101" s="178"/>
      <x:c r="R101" s="178"/>
      <x:c r="S101" s="178"/>
      <x:c r="T101" s="178"/>
      <x:c r="U101" s="178"/>
      <x:c r="V101" s="178"/>
      <x:c r="W101" s="178"/>
      <x:c r="X101" s="178"/>
      <x:c r="Y101" s="178"/>
      <x:c r="Z101" s="178"/>
    </x:row>
    <x:row r="102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8"/>
      <x:c r="N102" s="178"/>
      <x:c r="O102" s="178"/>
      <x:c r="P102" s="178"/>
      <x:c r="Q102" s="178"/>
      <x:c r="R102" s="178"/>
      <x:c r="S102" s="178"/>
      <x:c r="T102" s="178"/>
      <x:c r="U102" s="178"/>
      <x:c r="V102" s="178"/>
      <x:c r="W102" s="178"/>
      <x:c r="X102" s="178"/>
      <x:c r="Y102" s="178"/>
      <x:c r="Z102" s="178"/>
    </x:row>
    <x:row r="103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8"/>
      <x:c r="N103" s="178"/>
      <x:c r="O103" s="178"/>
      <x:c r="P103" s="178"/>
      <x:c r="Q103" s="178"/>
      <x:c r="R103" s="178"/>
      <x:c r="S103" s="178"/>
      <x:c r="T103" s="178"/>
      <x:c r="U103" s="178"/>
      <x:c r="V103" s="178"/>
      <x:c r="W103" s="178"/>
      <x:c r="X103" s="178"/>
      <x:c r="Y103" s="178"/>
      <x:c r="Z103" s="178"/>
    </x:row>
    <x:row r="104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8"/>
      <x:c r="N104" s="178"/>
      <x:c r="O104" s="178"/>
      <x:c r="P104" s="178"/>
      <x:c r="Q104" s="178"/>
      <x:c r="R104" s="178"/>
      <x:c r="S104" s="178"/>
      <x:c r="T104" s="178"/>
      <x:c r="U104" s="178"/>
      <x:c r="V104" s="178"/>
      <x:c r="W104" s="178"/>
      <x:c r="X104" s="178"/>
      <x:c r="Y104" s="178"/>
      <x:c r="Z104" s="178"/>
    </x:row>
    <x:row r="10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8"/>
      <x:c r="N105" s="178"/>
      <x:c r="O105" s="178"/>
      <x:c r="P105" s="178"/>
      <x:c r="Q105" s="178"/>
      <x:c r="R105" s="178"/>
      <x:c r="S105" s="178"/>
      <x:c r="T105" s="178"/>
      <x:c r="U105" s="178"/>
      <x:c r="V105" s="178"/>
      <x:c r="W105" s="178"/>
      <x:c r="X105" s="178"/>
      <x:c r="Y105" s="178"/>
      <x:c r="Z105" s="178"/>
    </x:row>
    <x:row r="106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8"/>
      <x:c r="N106" s="178"/>
      <x:c r="O106" s="178"/>
      <x:c r="P106" s="178"/>
      <x:c r="Q106" s="178"/>
      <x:c r="R106" s="178"/>
      <x:c r="S106" s="178"/>
      <x:c r="T106" s="178"/>
      <x:c r="U106" s="178"/>
      <x:c r="V106" s="178"/>
      <x:c r="W106" s="178"/>
      <x:c r="X106" s="178"/>
      <x:c r="Y106" s="178"/>
      <x:c r="Z106" s="178"/>
    </x:row>
    <x:row r="107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8"/>
      <x:c r="N107" s="178"/>
      <x:c r="O107" s="178"/>
      <x:c r="P107" s="178"/>
      <x:c r="Q107" s="178"/>
      <x:c r="R107" s="178"/>
      <x:c r="S107" s="178"/>
      <x:c r="T107" s="178"/>
      <x:c r="U107" s="178"/>
      <x:c r="V107" s="178"/>
      <x:c r="W107" s="178"/>
      <x:c r="X107" s="178"/>
      <x:c r="Y107" s="178"/>
      <x:c r="Z107" s="178"/>
    </x:row>
    <x:row r="108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8"/>
      <x:c r="N108" s="178"/>
      <x:c r="O108" s="178"/>
      <x:c r="P108" s="178"/>
      <x:c r="Q108" s="178"/>
      <x:c r="R108" s="178"/>
      <x:c r="S108" s="178"/>
      <x:c r="T108" s="178"/>
      <x:c r="U108" s="178"/>
      <x:c r="V108" s="178"/>
      <x:c r="W108" s="178"/>
      <x:c r="X108" s="178"/>
      <x:c r="Y108" s="178"/>
      <x:c r="Z108" s="178"/>
    </x:row>
    <x:row r="109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8"/>
      <x:c r="N109" s="178"/>
      <x:c r="O109" s="178"/>
      <x:c r="P109" s="178"/>
      <x:c r="Q109" s="178"/>
      <x:c r="R109" s="178"/>
      <x:c r="S109" s="178"/>
      <x:c r="T109" s="178"/>
      <x:c r="U109" s="178"/>
      <x:c r="V109" s="178"/>
      <x:c r="W109" s="178"/>
      <x:c r="X109" s="178"/>
      <x:c r="Y109" s="178"/>
      <x:c r="Z109" s="178"/>
    </x:row>
    <x:row r="110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8"/>
      <x:c r="N110" s="178"/>
      <x:c r="O110" s="178"/>
      <x:c r="P110" s="178"/>
      <x:c r="Q110" s="178"/>
      <x:c r="R110" s="178"/>
      <x:c r="S110" s="178"/>
      <x:c r="T110" s="178"/>
      <x:c r="U110" s="178"/>
      <x:c r="V110" s="178"/>
      <x:c r="W110" s="178"/>
      <x:c r="X110" s="178"/>
      <x:c r="Y110" s="178"/>
      <x:c r="Z110" s="178"/>
    </x:row>
    <x:row r="111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8"/>
      <x:c r="N111" s="178"/>
      <x:c r="O111" s="178"/>
      <x:c r="P111" s="178"/>
      <x:c r="Q111" s="178"/>
      <x:c r="R111" s="178"/>
      <x:c r="S111" s="178"/>
      <x:c r="T111" s="178"/>
      <x:c r="U111" s="178"/>
      <x:c r="V111" s="178"/>
      <x:c r="W111" s="178"/>
      <x:c r="X111" s="178"/>
      <x:c r="Y111" s="178"/>
      <x:c r="Z111" s="178"/>
    </x:row>
    <x:row r="112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8"/>
      <x:c r="N112" s="178"/>
      <x:c r="O112" s="178"/>
      <x:c r="P112" s="178"/>
      <x:c r="Q112" s="178"/>
      <x:c r="R112" s="178"/>
      <x:c r="S112" s="178"/>
      <x:c r="T112" s="178"/>
      <x:c r="U112" s="178"/>
      <x:c r="V112" s="178"/>
      <x:c r="W112" s="178"/>
      <x:c r="X112" s="178"/>
      <x:c r="Y112" s="178"/>
      <x:c r="Z112" s="178"/>
    </x:row>
    <x:row r="113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8"/>
      <x:c r="N113" s="178"/>
      <x:c r="O113" s="178"/>
      <x:c r="P113" s="178"/>
      <x:c r="Q113" s="178"/>
      <x:c r="R113" s="178"/>
      <x:c r="S113" s="178"/>
      <x:c r="T113" s="178"/>
      <x:c r="U113" s="178"/>
      <x:c r="V113" s="178"/>
      <x:c r="W113" s="178"/>
      <x:c r="X113" s="178"/>
      <x:c r="Y113" s="178"/>
      <x:c r="Z113" s="178"/>
    </x:row>
    <x:row r="114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8"/>
      <x:c r="N114" s="178"/>
      <x:c r="O114" s="178"/>
      <x:c r="P114" s="178"/>
      <x:c r="Q114" s="178"/>
      <x:c r="R114" s="178"/>
      <x:c r="S114" s="178"/>
      <x:c r="T114" s="178"/>
      <x:c r="U114" s="178"/>
      <x:c r="V114" s="178"/>
      <x:c r="W114" s="178"/>
      <x:c r="X114" s="178"/>
      <x:c r="Y114" s="178"/>
      <x:c r="Z114" s="178"/>
    </x:row>
    <x:row r="11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8"/>
      <x:c r="N115" s="178"/>
      <x:c r="O115" s="178"/>
      <x:c r="P115" s="178"/>
      <x:c r="Q115" s="178"/>
      <x:c r="R115" s="178"/>
      <x:c r="S115" s="178"/>
      <x:c r="T115" s="178"/>
      <x:c r="U115" s="178"/>
      <x:c r="V115" s="178"/>
      <x:c r="W115" s="178"/>
      <x:c r="X115" s="178"/>
      <x:c r="Y115" s="178"/>
      <x:c r="Z115" s="178"/>
    </x:row>
    <x:row r="116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8"/>
      <x:c r="N116" s="178"/>
      <x:c r="O116" s="178"/>
      <x:c r="P116" s="178"/>
      <x:c r="Q116" s="178"/>
      <x:c r="R116" s="178"/>
      <x:c r="S116" s="178"/>
      <x:c r="T116" s="178"/>
      <x:c r="U116" s="178"/>
      <x:c r="V116" s="178"/>
      <x:c r="W116" s="178"/>
      <x:c r="X116" s="178"/>
      <x:c r="Y116" s="178"/>
      <x:c r="Z116" s="178"/>
    </x:row>
    <x:row r="117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8"/>
      <x:c r="N117" s="178"/>
      <x:c r="O117" s="178"/>
      <x:c r="P117" s="178"/>
      <x:c r="Q117" s="178"/>
      <x:c r="R117" s="178"/>
      <x:c r="S117" s="178"/>
      <x:c r="T117" s="178"/>
      <x:c r="U117" s="178"/>
      <x:c r="V117" s="178"/>
      <x:c r="W117" s="178"/>
      <x:c r="X117" s="178"/>
      <x:c r="Y117" s="178"/>
      <x:c r="Z117" s="178"/>
    </x:row>
    <x:row r="118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8"/>
      <x:c r="N118" s="178"/>
      <x:c r="O118" s="178"/>
      <x:c r="P118" s="178"/>
      <x:c r="Q118" s="178"/>
      <x:c r="R118" s="178"/>
      <x:c r="S118" s="178"/>
      <x:c r="T118" s="178"/>
      <x:c r="U118" s="178"/>
      <x:c r="V118" s="178"/>
      <x:c r="W118" s="178"/>
      <x:c r="X118" s="178"/>
      <x:c r="Y118" s="178"/>
      <x:c r="Z118" s="178"/>
    </x:row>
    <x:row r="119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8"/>
      <x:c r="N119" s="178"/>
      <x:c r="O119" s="178"/>
      <x:c r="P119" s="178"/>
      <x:c r="Q119" s="178"/>
      <x:c r="R119" s="178"/>
      <x:c r="S119" s="178"/>
      <x:c r="T119" s="178"/>
      <x:c r="U119" s="178"/>
      <x:c r="V119" s="178"/>
      <x:c r="W119" s="178"/>
      <x:c r="X119" s="178"/>
      <x:c r="Y119" s="178"/>
      <x:c r="Z119" s="178"/>
    </x:row>
    <x:row r="120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8"/>
      <x:c r="N120" s="178"/>
      <x:c r="O120" s="178"/>
      <x:c r="P120" s="178"/>
      <x:c r="Q120" s="178"/>
      <x:c r="R120" s="178"/>
      <x:c r="S120" s="178"/>
      <x:c r="T120" s="178"/>
      <x:c r="U120" s="178"/>
      <x:c r="V120" s="178"/>
      <x:c r="W120" s="178"/>
      <x:c r="X120" s="178"/>
      <x:c r="Y120" s="178"/>
      <x:c r="Z120" s="178"/>
    </x:row>
    <x:row r="121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8"/>
      <x:c r="N121" s="178"/>
      <x:c r="O121" s="178"/>
      <x:c r="P121" s="178"/>
      <x:c r="Q121" s="178"/>
      <x:c r="R121" s="178"/>
      <x:c r="S121" s="178"/>
      <x:c r="T121" s="178"/>
      <x:c r="U121" s="178"/>
      <x:c r="V121" s="178"/>
      <x:c r="W121" s="178"/>
      <x:c r="X121" s="178"/>
      <x:c r="Y121" s="178"/>
      <x:c r="Z121" s="178"/>
    </x:row>
    <x:row r="122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8"/>
      <x:c r="N122" s="178"/>
      <x:c r="O122" s="178"/>
      <x:c r="P122" s="178"/>
      <x:c r="Q122" s="178"/>
      <x:c r="R122" s="178"/>
      <x:c r="S122" s="178"/>
      <x:c r="T122" s="178"/>
      <x:c r="U122" s="178"/>
      <x:c r="V122" s="178"/>
      <x:c r="W122" s="178"/>
      <x:c r="X122" s="178"/>
      <x:c r="Y122" s="178"/>
      <x:c r="Z122" s="178"/>
    </x:row>
    <x:row r="123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8"/>
      <x:c r="N123" s="178"/>
      <x:c r="O123" s="178"/>
      <x:c r="P123" s="178"/>
      <x:c r="Q123" s="178"/>
      <x:c r="R123" s="178"/>
      <x:c r="S123" s="178"/>
      <x:c r="T123" s="178"/>
      <x:c r="U123" s="178"/>
      <x:c r="V123" s="178"/>
      <x:c r="W123" s="178"/>
      <x:c r="X123" s="178"/>
      <x:c r="Y123" s="178"/>
      <x:c r="Z123" s="178"/>
    </x:row>
    <x:row r="124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8"/>
      <x:c r="N124" s="178"/>
      <x:c r="O124" s="178"/>
      <x:c r="P124" s="178"/>
      <x:c r="Q124" s="178"/>
      <x:c r="R124" s="178"/>
      <x:c r="S124" s="178"/>
      <x:c r="T124" s="178"/>
      <x:c r="U124" s="178"/>
      <x:c r="V124" s="178"/>
      <x:c r="W124" s="178"/>
      <x:c r="X124" s="178"/>
      <x:c r="Y124" s="178"/>
      <x:c r="Z124" s="178"/>
    </x:row>
    <x:row r="1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8"/>
      <x:c r="N125" s="178"/>
      <x:c r="O125" s="178"/>
      <x:c r="P125" s="178"/>
      <x:c r="Q125" s="178"/>
      <x:c r="R125" s="178"/>
      <x:c r="S125" s="178"/>
      <x:c r="T125" s="178"/>
      <x:c r="U125" s="178"/>
      <x:c r="V125" s="178"/>
      <x:c r="W125" s="178"/>
      <x:c r="X125" s="178"/>
      <x:c r="Y125" s="178"/>
      <x:c r="Z125" s="178"/>
    </x:row>
    <x:row r="126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8"/>
      <x:c r="N126" s="178"/>
      <x:c r="O126" s="178"/>
      <x:c r="P126" s="178"/>
      <x:c r="Q126" s="178"/>
      <x:c r="R126" s="178"/>
      <x:c r="S126" s="178"/>
      <x:c r="T126" s="178"/>
      <x:c r="U126" s="178"/>
      <x:c r="V126" s="178"/>
      <x:c r="W126" s="178"/>
      <x:c r="X126" s="178"/>
      <x:c r="Y126" s="178"/>
      <x:c r="Z126" s="178"/>
    </x:row>
    <x:row r="127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8"/>
      <x:c r="N127" s="178"/>
      <x:c r="O127" s="178"/>
      <x:c r="P127" s="178"/>
      <x:c r="Q127" s="178"/>
      <x:c r="R127" s="178"/>
      <x:c r="S127" s="178"/>
      <x:c r="T127" s="178"/>
      <x:c r="U127" s="178"/>
      <x:c r="V127" s="178"/>
      <x:c r="W127" s="178"/>
      <x:c r="X127" s="178"/>
      <x:c r="Y127" s="178"/>
      <x:c r="Z127" s="178"/>
    </x:row>
    <x:row r="128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8"/>
      <x:c r="N128" s="178"/>
      <x:c r="O128" s="178"/>
      <x:c r="P128" s="178"/>
      <x:c r="Q128" s="178"/>
      <x:c r="R128" s="178"/>
      <x:c r="S128" s="178"/>
      <x:c r="T128" s="178"/>
      <x:c r="U128" s="178"/>
      <x:c r="V128" s="178"/>
      <x:c r="W128" s="178"/>
      <x:c r="X128" s="178"/>
      <x:c r="Y128" s="178"/>
      <x:c r="Z128" s="178"/>
    </x:row>
    <x:row r="129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8"/>
      <x:c r="N129" s="178"/>
      <x:c r="O129" s="178"/>
      <x:c r="P129" s="178"/>
      <x:c r="Q129" s="178"/>
      <x:c r="R129" s="178"/>
      <x:c r="S129" s="178"/>
      <x:c r="T129" s="178"/>
      <x:c r="U129" s="178"/>
      <x:c r="V129" s="178"/>
      <x:c r="W129" s="178"/>
      <x:c r="X129" s="178"/>
      <x:c r="Y129" s="178"/>
      <x:c r="Z129" s="178"/>
    </x:row>
    <x:row r="130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8"/>
      <x:c r="N130" s="178"/>
      <x:c r="O130" s="178"/>
      <x:c r="P130" s="178"/>
      <x:c r="Q130" s="178"/>
      <x:c r="R130" s="178"/>
      <x:c r="S130" s="178"/>
      <x:c r="T130" s="178"/>
      <x:c r="U130" s="178"/>
      <x:c r="V130" s="178"/>
      <x:c r="W130" s="178"/>
      <x:c r="X130" s="178"/>
      <x:c r="Y130" s="178"/>
      <x:c r="Z130" s="178"/>
    </x:row>
    <x:row r="131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8"/>
      <x:c r="N131" s="178"/>
      <x:c r="O131" s="178"/>
      <x:c r="P131" s="178"/>
      <x:c r="Q131" s="178"/>
      <x:c r="R131" s="178"/>
      <x:c r="S131" s="178"/>
      <x:c r="T131" s="178"/>
      <x:c r="U131" s="178"/>
      <x:c r="V131" s="178"/>
      <x:c r="W131" s="178"/>
      <x:c r="X131" s="178"/>
      <x:c r="Y131" s="178"/>
      <x:c r="Z131" s="178"/>
    </x:row>
    <x:row r="132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8"/>
      <x:c r="N132" s="178"/>
      <x:c r="O132" s="178"/>
      <x:c r="P132" s="178"/>
      <x:c r="Q132" s="178"/>
      <x:c r="R132" s="178"/>
      <x:c r="S132" s="178"/>
      <x:c r="T132" s="178"/>
      <x:c r="U132" s="178"/>
      <x:c r="V132" s="178"/>
      <x:c r="W132" s="178"/>
      <x:c r="X132" s="178"/>
      <x:c r="Y132" s="178"/>
      <x:c r="Z132" s="178"/>
    </x:row>
    <x:row r="133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8"/>
      <x:c r="N133" s="178"/>
      <x:c r="O133" s="178"/>
      <x:c r="P133" s="178"/>
      <x:c r="Q133" s="178"/>
      <x:c r="R133" s="178"/>
      <x:c r="S133" s="178"/>
      <x:c r="T133" s="178"/>
      <x:c r="U133" s="178"/>
      <x:c r="V133" s="178"/>
      <x:c r="W133" s="178"/>
      <x:c r="X133" s="178"/>
      <x:c r="Y133" s="178"/>
      <x:c r="Z133" s="178"/>
    </x:row>
    <x:row r="134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8"/>
      <x:c r="N134" s="178"/>
      <x:c r="O134" s="178"/>
      <x:c r="P134" s="178"/>
      <x:c r="Q134" s="178"/>
      <x:c r="R134" s="178"/>
      <x:c r="S134" s="178"/>
      <x:c r="T134" s="178"/>
      <x:c r="U134" s="178"/>
      <x:c r="V134" s="178"/>
      <x:c r="W134" s="178"/>
      <x:c r="X134" s="178"/>
      <x:c r="Y134" s="178"/>
      <x:c r="Z134" s="178"/>
    </x:row>
    <x:row r="13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8"/>
      <x:c r="N135" s="178"/>
      <x:c r="O135" s="178"/>
      <x:c r="P135" s="178"/>
      <x:c r="Q135" s="178"/>
      <x:c r="R135" s="178"/>
      <x:c r="S135" s="178"/>
      <x:c r="T135" s="178"/>
      <x:c r="U135" s="178"/>
      <x:c r="V135" s="178"/>
      <x:c r="W135" s="178"/>
      <x:c r="X135" s="178"/>
      <x:c r="Y135" s="178"/>
      <x:c r="Z135" s="178"/>
    </x:row>
    <x:row r="136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8"/>
      <x:c r="N136" s="178"/>
      <x:c r="O136" s="178"/>
      <x:c r="P136" s="178"/>
      <x:c r="Q136" s="178"/>
      <x:c r="R136" s="178"/>
      <x:c r="S136" s="178"/>
      <x:c r="T136" s="178"/>
      <x:c r="U136" s="178"/>
      <x:c r="V136" s="178"/>
      <x:c r="W136" s="178"/>
      <x:c r="X136" s="178"/>
      <x:c r="Y136" s="178"/>
      <x:c r="Z136" s="178"/>
    </x:row>
    <x:row r="137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</x:row>
    <x:row r="138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8"/>
      <x:c r="N138" s="178"/>
      <x:c r="O138" s="178"/>
      <x:c r="P138" s="178"/>
      <x:c r="Q138" s="178"/>
      <x:c r="R138" s="178"/>
      <x:c r="S138" s="178"/>
      <x:c r="T138" s="178"/>
      <x:c r="U138" s="178"/>
      <x:c r="V138" s="178"/>
      <x:c r="W138" s="178"/>
      <x:c r="X138" s="178"/>
      <x:c r="Y138" s="178"/>
      <x:c r="Z138" s="178"/>
    </x:row>
    <x:row r="139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8"/>
      <x:c r="N139" s="178"/>
      <x:c r="O139" s="178"/>
      <x:c r="P139" s="178"/>
      <x:c r="Q139" s="178"/>
      <x:c r="R139" s="178"/>
      <x:c r="S139" s="178"/>
      <x:c r="T139" s="178"/>
      <x:c r="U139" s="178"/>
      <x:c r="V139" s="178"/>
      <x:c r="W139" s="178"/>
      <x:c r="X139" s="178"/>
      <x:c r="Y139" s="178"/>
      <x:c r="Z139" s="178"/>
    </x:row>
    <x:row r="140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8"/>
      <x:c r="N140" s="178"/>
      <x:c r="O140" s="178"/>
      <x:c r="P140" s="178"/>
      <x:c r="Q140" s="178"/>
      <x:c r="R140" s="178"/>
      <x:c r="S140" s="178"/>
      <x:c r="T140" s="178"/>
      <x:c r="U140" s="178"/>
      <x:c r="V140" s="178"/>
      <x:c r="W140" s="178"/>
      <x:c r="X140" s="178"/>
      <x:c r="Y140" s="178"/>
      <x:c r="Z140" s="178"/>
    </x:row>
    <x:row r="141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8"/>
      <x:c r="N141" s="178"/>
      <x:c r="O141" s="178"/>
      <x:c r="P141" s="178"/>
      <x:c r="Q141" s="178"/>
      <x:c r="R141" s="178"/>
      <x:c r="S141" s="178"/>
      <x:c r="T141" s="178"/>
      <x:c r="U141" s="178"/>
      <x:c r="V141" s="178"/>
      <x:c r="W141" s="178"/>
      <x:c r="X141" s="178"/>
      <x:c r="Y141" s="178"/>
      <x:c r="Z141" s="178"/>
    </x:row>
    <x:row r="142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8"/>
      <x:c r="N142" s="178"/>
      <x:c r="O142" s="178"/>
      <x:c r="P142" s="178"/>
      <x:c r="Q142" s="178"/>
      <x:c r="R142" s="178"/>
      <x:c r="S142" s="178"/>
      <x:c r="T142" s="178"/>
      <x:c r="U142" s="178"/>
      <x:c r="V142" s="178"/>
      <x:c r="W142" s="178"/>
      <x:c r="X142" s="178"/>
      <x:c r="Y142" s="178"/>
      <x:c r="Z142" s="178"/>
    </x:row>
    <x:row r="143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8"/>
      <x:c r="N143" s="178"/>
      <x:c r="O143" s="178"/>
      <x:c r="P143" s="178"/>
      <x:c r="Q143" s="178"/>
      <x:c r="R143" s="178"/>
      <x:c r="S143" s="178"/>
      <x:c r="T143" s="178"/>
      <x:c r="U143" s="178"/>
      <x:c r="V143" s="178"/>
      <x:c r="W143" s="178"/>
      <x:c r="X143" s="178"/>
      <x:c r="Y143" s="178"/>
      <x:c r="Z143" s="178"/>
    </x:row>
    <x:row r="144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8"/>
      <x:c r="N144" s="178"/>
      <x:c r="O144" s="178"/>
      <x:c r="P144" s="178"/>
      <x:c r="Q144" s="178"/>
      <x:c r="R144" s="178"/>
      <x:c r="S144" s="178"/>
      <x:c r="T144" s="178"/>
      <x:c r="U144" s="178"/>
      <x:c r="V144" s="178"/>
      <x:c r="W144" s="178"/>
      <x:c r="X144" s="178"/>
      <x:c r="Y144" s="178"/>
      <x:c r="Z144" s="178"/>
    </x:row>
    <x:row r="14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8"/>
      <x:c r="N145" s="178"/>
      <x:c r="O145" s="178"/>
      <x:c r="P145" s="178"/>
      <x:c r="Q145" s="178"/>
      <x:c r="R145" s="178"/>
      <x:c r="S145" s="178"/>
      <x:c r="T145" s="178"/>
      <x:c r="U145" s="178"/>
      <x:c r="V145" s="178"/>
      <x:c r="W145" s="178"/>
      <x:c r="X145" s="178"/>
      <x:c r="Y145" s="178"/>
      <x:c r="Z145" s="178"/>
    </x:row>
    <x:row r="146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8"/>
      <x:c r="N146" s="178"/>
      <x:c r="O146" s="178"/>
      <x:c r="P146" s="178"/>
      <x:c r="Q146" s="178"/>
      <x:c r="R146" s="178"/>
      <x:c r="S146" s="178"/>
      <x:c r="T146" s="178"/>
      <x:c r="U146" s="178"/>
      <x:c r="V146" s="178"/>
      <x:c r="W146" s="178"/>
      <x:c r="X146" s="178"/>
      <x:c r="Y146" s="178"/>
      <x:c r="Z146" s="178"/>
    </x:row>
    <x:row r="147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8"/>
      <x:c r="N147" s="178"/>
      <x:c r="O147" s="178"/>
      <x:c r="P147" s="178"/>
      <x:c r="Q147" s="178"/>
      <x:c r="R147" s="178"/>
      <x:c r="S147" s="178"/>
      <x:c r="T147" s="178"/>
      <x:c r="U147" s="178"/>
      <x:c r="V147" s="178"/>
      <x:c r="W147" s="178"/>
      <x:c r="X147" s="178"/>
      <x:c r="Y147" s="178"/>
      <x:c r="Z147" s="178"/>
    </x:row>
    <x:row r="148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8"/>
      <x:c r="N148" s="178"/>
      <x:c r="O148" s="178"/>
      <x:c r="P148" s="178"/>
      <x:c r="Q148" s="178"/>
      <x:c r="R148" s="178"/>
      <x:c r="S148" s="178"/>
      <x:c r="T148" s="178"/>
      <x:c r="U148" s="178"/>
      <x:c r="V148" s="178"/>
      <x:c r="W148" s="178"/>
      <x:c r="X148" s="178"/>
      <x:c r="Y148" s="178"/>
      <x:c r="Z148" s="178"/>
    </x:row>
    <x:row r="149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8"/>
      <x:c r="N149" s="178"/>
      <x:c r="O149" s="178"/>
      <x:c r="P149" s="178"/>
      <x:c r="Q149" s="178"/>
      <x:c r="R149" s="178"/>
      <x:c r="S149" s="178"/>
      <x:c r="T149" s="178"/>
      <x:c r="U149" s="178"/>
      <x:c r="V149" s="178"/>
      <x:c r="W149" s="178"/>
      <x:c r="X149" s="178"/>
      <x:c r="Y149" s="178"/>
      <x:c r="Z149" s="178"/>
    </x:row>
    <x:row r="150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8"/>
      <x:c r="N150" s="178"/>
      <x:c r="O150" s="178"/>
      <x:c r="P150" s="178"/>
      <x:c r="Q150" s="178"/>
      <x:c r="R150" s="178"/>
      <x:c r="S150" s="178"/>
      <x:c r="T150" s="178"/>
      <x:c r="U150" s="178"/>
      <x:c r="V150" s="178"/>
      <x:c r="W150" s="178"/>
      <x:c r="X150" s="178"/>
      <x:c r="Y150" s="178"/>
      <x:c r="Z150" s="178"/>
    </x:row>
    <x:row r="151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8"/>
      <x:c r="N151" s="178"/>
      <x:c r="O151" s="178"/>
      <x:c r="P151" s="178"/>
      <x:c r="Q151" s="178"/>
      <x:c r="R151" s="178"/>
      <x:c r="S151" s="178"/>
      <x:c r="T151" s="178"/>
      <x:c r="U151" s="178"/>
      <x:c r="V151" s="178"/>
      <x:c r="W151" s="178"/>
      <x:c r="X151" s="178"/>
      <x:c r="Y151" s="178"/>
      <x:c r="Z151" s="178"/>
    </x:row>
    <x:row r="152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8"/>
      <x:c r="N152" s="178"/>
      <x:c r="O152" s="178"/>
      <x:c r="P152" s="178"/>
      <x:c r="Q152" s="178"/>
      <x:c r="R152" s="178"/>
      <x:c r="S152" s="178"/>
      <x:c r="T152" s="178"/>
      <x:c r="U152" s="178"/>
      <x:c r="V152" s="178"/>
      <x:c r="W152" s="178"/>
      <x:c r="X152" s="178"/>
      <x:c r="Y152" s="178"/>
      <x:c r="Z152" s="178"/>
    </x:row>
    <x:row r="153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8"/>
      <x:c r="N153" s="178"/>
      <x:c r="O153" s="178"/>
      <x:c r="P153" s="178"/>
      <x:c r="Q153" s="178"/>
      <x:c r="R153" s="178"/>
      <x:c r="S153" s="178"/>
      <x:c r="T153" s="178"/>
      <x:c r="U153" s="178"/>
      <x:c r="V153" s="178"/>
      <x:c r="W153" s="178"/>
      <x:c r="X153" s="178"/>
      <x:c r="Y153" s="178"/>
      <x:c r="Z153" s="178"/>
    </x:row>
    <x:row r="154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8"/>
      <x:c r="N154" s="178"/>
      <x:c r="O154" s="178"/>
      <x:c r="P154" s="178"/>
      <x:c r="Q154" s="178"/>
      <x:c r="R154" s="178"/>
      <x:c r="S154" s="178"/>
      <x:c r="T154" s="178"/>
      <x:c r="U154" s="178"/>
      <x:c r="V154" s="178"/>
      <x:c r="W154" s="178"/>
      <x:c r="X154" s="178"/>
      <x:c r="Y154" s="178"/>
      <x:c r="Z154" s="178"/>
    </x:row>
    <x:row r="15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8"/>
      <x:c r="N155" s="178"/>
      <x:c r="O155" s="178"/>
      <x:c r="P155" s="178"/>
      <x:c r="Q155" s="178"/>
      <x:c r="R155" s="178"/>
      <x:c r="S155" s="178"/>
      <x:c r="T155" s="178"/>
      <x:c r="U155" s="178"/>
      <x:c r="V155" s="178"/>
      <x:c r="W155" s="178"/>
      <x:c r="X155" s="178"/>
      <x:c r="Y155" s="178"/>
      <x:c r="Z155" s="178"/>
    </x:row>
    <x:row r="156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8"/>
      <x:c r="N156" s="178"/>
      <x:c r="O156" s="178"/>
      <x:c r="P156" s="178"/>
      <x:c r="Q156" s="178"/>
      <x:c r="R156" s="178"/>
      <x:c r="S156" s="178"/>
      <x:c r="T156" s="178"/>
      <x:c r="U156" s="178"/>
      <x:c r="V156" s="178"/>
      <x:c r="W156" s="178"/>
      <x:c r="X156" s="178"/>
      <x:c r="Y156" s="178"/>
      <x:c r="Z156" s="178"/>
    </x:row>
    <x:row r="157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8"/>
      <x:c r="N157" s="178"/>
      <x:c r="O157" s="178"/>
      <x:c r="P157" s="178"/>
      <x:c r="Q157" s="178"/>
      <x:c r="R157" s="178"/>
      <x:c r="S157" s="178"/>
      <x:c r="T157" s="178"/>
      <x:c r="U157" s="178"/>
      <x:c r="V157" s="178"/>
      <x:c r="W157" s="178"/>
      <x:c r="X157" s="178"/>
      <x:c r="Y157" s="178"/>
      <x:c r="Z157" s="178"/>
    </x:row>
    <x:row r="158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8"/>
      <x:c r="N158" s="178"/>
      <x:c r="O158" s="178"/>
      <x:c r="P158" s="178"/>
      <x:c r="Q158" s="178"/>
      <x:c r="R158" s="178"/>
      <x:c r="S158" s="178"/>
      <x:c r="T158" s="178"/>
      <x:c r="U158" s="178"/>
      <x:c r="V158" s="178"/>
      <x:c r="W158" s="178"/>
      <x:c r="X158" s="178"/>
      <x:c r="Y158" s="178"/>
      <x:c r="Z158" s="178"/>
    </x:row>
    <x:row r="159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8"/>
      <x:c r="N159" s="178"/>
      <x:c r="O159" s="178"/>
      <x:c r="P159" s="178"/>
      <x:c r="Q159" s="178"/>
      <x:c r="R159" s="178"/>
      <x:c r="S159" s="178"/>
      <x:c r="T159" s="178"/>
      <x:c r="U159" s="178"/>
      <x:c r="V159" s="178"/>
      <x:c r="W159" s="178"/>
      <x:c r="X159" s="178"/>
      <x:c r="Y159" s="178"/>
      <x:c r="Z159" s="178"/>
    </x:row>
    <x:row r="160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8"/>
      <x:c r="N160" s="178"/>
      <x:c r="O160" s="178"/>
      <x:c r="P160" s="178"/>
      <x:c r="Q160" s="178"/>
      <x:c r="R160" s="178"/>
      <x:c r="S160" s="178"/>
      <x:c r="T160" s="178"/>
      <x:c r="U160" s="178"/>
      <x:c r="V160" s="178"/>
      <x:c r="W160" s="178"/>
      <x:c r="X160" s="178"/>
      <x:c r="Y160" s="178"/>
      <x:c r="Z160" s="178"/>
    </x:row>
    <x:row r="161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8"/>
      <x:c r="N161" s="178"/>
      <x:c r="O161" s="178"/>
      <x:c r="P161" s="178"/>
      <x:c r="Q161" s="178"/>
      <x:c r="R161" s="178"/>
      <x:c r="S161" s="178"/>
      <x:c r="T161" s="178"/>
      <x:c r="U161" s="178"/>
      <x:c r="V161" s="178"/>
      <x:c r="W161" s="178"/>
      <x:c r="X161" s="178"/>
      <x:c r="Y161" s="178"/>
      <x:c r="Z161" s="178"/>
    </x:row>
    <x:row r="162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8"/>
      <x:c r="N162" s="178"/>
      <x:c r="O162" s="178"/>
      <x:c r="P162" s="178"/>
      <x:c r="Q162" s="178"/>
      <x:c r="R162" s="178"/>
      <x:c r="S162" s="178"/>
      <x:c r="T162" s="178"/>
      <x:c r="U162" s="178"/>
      <x:c r="V162" s="178"/>
      <x:c r="W162" s="178"/>
      <x:c r="X162" s="178"/>
      <x:c r="Y162" s="178"/>
      <x:c r="Z162" s="178"/>
    </x:row>
    <x:row r="163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8"/>
      <x:c r="N163" s="178"/>
      <x:c r="O163" s="178"/>
      <x:c r="P163" s="178"/>
      <x:c r="Q163" s="178"/>
      <x:c r="R163" s="178"/>
      <x:c r="S163" s="178"/>
      <x:c r="T163" s="178"/>
      <x:c r="U163" s="178"/>
      <x:c r="V163" s="178"/>
      <x:c r="W163" s="178"/>
      <x:c r="X163" s="178"/>
      <x:c r="Y163" s="178"/>
      <x:c r="Z163" s="178"/>
    </x:row>
    <x:row r="164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8"/>
      <x:c r="N164" s="178"/>
      <x:c r="O164" s="178"/>
      <x:c r="P164" s="178"/>
      <x:c r="Q164" s="178"/>
      <x:c r="R164" s="178"/>
      <x:c r="S164" s="178"/>
      <x:c r="T164" s="178"/>
      <x:c r="U164" s="178"/>
      <x:c r="V164" s="178"/>
      <x:c r="W164" s="178"/>
      <x:c r="X164" s="178"/>
      <x:c r="Y164" s="178"/>
      <x:c r="Z164" s="178"/>
    </x:row>
    <x:row r="16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8"/>
      <x:c r="N165" s="178"/>
      <x:c r="O165" s="178"/>
      <x:c r="P165" s="178"/>
      <x:c r="Q165" s="178"/>
      <x:c r="R165" s="178"/>
      <x:c r="S165" s="178"/>
      <x:c r="T165" s="178"/>
      <x:c r="U165" s="178"/>
      <x:c r="V165" s="178"/>
      <x:c r="W165" s="178"/>
      <x:c r="X165" s="178"/>
      <x:c r="Y165" s="178"/>
      <x:c r="Z165" s="178"/>
    </x:row>
    <x:row r="166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8"/>
      <x:c r="N166" s="178"/>
      <x:c r="O166" s="178"/>
      <x:c r="P166" s="178"/>
      <x:c r="Q166" s="178"/>
      <x:c r="R166" s="178"/>
      <x:c r="S166" s="178"/>
      <x:c r="T166" s="178"/>
      <x:c r="U166" s="178"/>
      <x:c r="V166" s="178"/>
      <x:c r="W166" s="178"/>
      <x:c r="X166" s="178"/>
      <x:c r="Y166" s="178"/>
      <x:c r="Z166" s="178"/>
    </x:row>
    <x:row r="167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8"/>
      <x:c r="N167" s="178"/>
      <x:c r="O167" s="178"/>
      <x:c r="P167" s="178"/>
      <x:c r="Q167" s="178"/>
      <x:c r="R167" s="178"/>
      <x:c r="S167" s="178"/>
      <x:c r="T167" s="178"/>
      <x:c r="U167" s="178"/>
      <x:c r="V167" s="178"/>
      <x:c r="W167" s="178"/>
      <x:c r="X167" s="178"/>
      <x:c r="Y167" s="178"/>
      <x:c r="Z167" s="178"/>
    </x:row>
    <x:row r="168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8"/>
      <x:c r="N168" s="178"/>
      <x:c r="O168" s="178"/>
      <x:c r="P168" s="178"/>
      <x:c r="Q168" s="178"/>
      <x:c r="R168" s="178"/>
      <x:c r="S168" s="178"/>
      <x:c r="T168" s="178"/>
      <x:c r="U168" s="178"/>
      <x:c r="V168" s="178"/>
      <x:c r="W168" s="178"/>
      <x:c r="X168" s="178"/>
      <x:c r="Y168" s="178"/>
      <x:c r="Z168" s="178"/>
    </x:row>
    <x:row r="169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8"/>
      <x:c r="N169" s="178"/>
      <x:c r="O169" s="178"/>
      <x:c r="P169" s="178"/>
      <x:c r="Q169" s="178"/>
      <x:c r="R169" s="178"/>
      <x:c r="S169" s="178"/>
      <x:c r="T169" s="178"/>
      <x:c r="U169" s="178"/>
      <x:c r="V169" s="178"/>
      <x:c r="W169" s="178"/>
      <x:c r="X169" s="178"/>
      <x:c r="Y169" s="178"/>
      <x:c r="Z169" s="178"/>
    </x:row>
    <x:row r="170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</x:row>
    <x:row r="171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8"/>
      <x:c r="N171" s="178"/>
      <x:c r="O171" s="178"/>
      <x:c r="P171" s="178"/>
      <x:c r="Q171" s="178"/>
      <x:c r="R171" s="178"/>
      <x:c r="S171" s="178"/>
      <x:c r="T171" s="178"/>
      <x:c r="U171" s="178"/>
      <x:c r="V171" s="178"/>
      <x:c r="W171" s="178"/>
      <x:c r="X171" s="178"/>
      <x:c r="Y171" s="178"/>
      <x:c r="Z171" s="178"/>
    </x:row>
    <x:row r="172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8"/>
      <x:c r="N172" s="178"/>
      <x:c r="O172" s="178"/>
      <x:c r="P172" s="178"/>
      <x:c r="Q172" s="178"/>
      <x:c r="R172" s="178"/>
      <x:c r="S172" s="178"/>
      <x:c r="T172" s="178"/>
      <x:c r="U172" s="178"/>
      <x:c r="V172" s="178"/>
      <x:c r="W172" s="178"/>
      <x:c r="X172" s="178"/>
      <x:c r="Y172" s="178"/>
      <x:c r="Z172" s="178"/>
    </x:row>
    <x:row r="173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8"/>
      <x:c r="N173" s="178"/>
      <x:c r="O173" s="178"/>
      <x:c r="P173" s="178"/>
      <x:c r="Q173" s="178"/>
      <x:c r="R173" s="178"/>
      <x:c r="S173" s="178"/>
      <x:c r="T173" s="178"/>
      <x:c r="U173" s="178"/>
      <x:c r="V173" s="178"/>
      <x:c r="W173" s="178"/>
      <x:c r="X173" s="178"/>
      <x:c r="Y173" s="178"/>
      <x:c r="Z173" s="178"/>
    </x:row>
    <x:row r="174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8"/>
      <x:c r="N174" s="178"/>
      <x:c r="O174" s="178"/>
      <x:c r="P174" s="178"/>
      <x:c r="Q174" s="178"/>
      <x:c r="R174" s="178"/>
      <x:c r="S174" s="178"/>
      <x:c r="T174" s="178"/>
      <x:c r="U174" s="178"/>
      <x:c r="V174" s="178"/>
      <x:c r="W174" s="178"/>
      <x:c r="X174" s="178"/>
      <x:c r="Y174" s="178"/>
      <x:c r="Z174" s="178"/>
    </x:row>
    <x:row r="17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8"/>
      <x:c r="N175" s="178"/>
      <x:c r="O175" s="178"/>
      <x:c r="P175" s="178"/>
      <x:c r="Q175" s="178"/>
      <x:c r="R175" s="178"/>
      <x:c r="S175" s="178"/>
      <x:c r="T175" s="178"/>
      <x:c r="U175" s="178"/>
      <x:c r="V175" s="178"/>
      <x:c r="W175" s="178"/>
      <x:c r="X175" s="178"/>
      <x:c r="Y175" s="178"/>
      <x:c r="Z175" s="178"/>
    </x:row>
    <x:row r="176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8"/>
      <x:c r="N176" s="178"/>
      <x:c r="O176" s="178"/>
      <x:c r="P176" s="178"/>
      <x:c r="Q176" s="178"/>
      <x:c r="R176" s="178"/>
      <x:c r="S176" s="178"/>
      <x:c r="T176" s="178"/>
      <x:c r="U176" s="178"/>
      <x:c r="V176" s="178"/>
      <x:c r="W176" s="178"/>
      <x:c r="X176" s="178"/>
      <x:c r="Y176" s="178"/>
      <x:c r="Z176" s="178"/>
    </x:row>
    <x:row r="177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8"/>
      <x:c r="N177" s="178"/>
      <x:c r="O177" s="178"/>
      <x:c r="P177" s="178"/>
      <x:c r="Q177" s="178"/>
      <x:c r="R177" s="178"/>
      <x:c r="S177" s="178"/>
      <x:c r="T177" s="178"/>
      <x:c r="U177" s="178"/>
      <x:c r="V177" s="178"/>
      <x:c r="W177" s="178"/>
      <x:c r="X177" s="178"/>
      <x:c r="Y177" s="178"/>
      <x:c r="Z177" s="178"/>
    </x:row>
    <x:row r="178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8"/>
      <x:c r="N178" s="178"/>
      <x:c r="O178" s="178"/>
      <x:c r="P178" s="178"/>
      <x:c r="Q178" s="178"/>
      <x:c r="R178" s="178"/>
      <x:c r="S178" s="178"/>
      <x:c r="T178" s="178"/>
      <x:c r="U178" s="178"/>
      <x:c r="V178" s="178"/>
      <x:c r="W178" s="178"/>
      <x:c r="X178" s="178"/>
      <x:c r="Y178" s="178"/>
      <x:c r="Z178" s="178"/>
    </x:row>
    <x:row r="179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8"/>
      <x:c r="N179" s="178"/>
      <x:c r="O179" s="178"/>
      <x:c r="P179" s="178"/>
      <x:c r="Q179" s="178"/>
      <x:c r="R179" s="178"/>
      <x:c r="S179" s="178"/>
      <x:c r="T179" s="178"/>
      <x:c r="U179" s="178"/>
      <x:c r="V179" s="178"/>
      <x:c r="W179" s="178"/>
      <x:c r="X179" s="178"/>
      <x:c r="Y179" s="178"/>
      <x:c r="Z179" s="178"/>
    </x:row>
    <x:row r="180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8"/>
      <x:c r="N180" s="178"/>
      <x:c r="O180" s="178"/>
      <x:c r="P180" s="178"/>
      <x:c r="Q180" s="178"/>
      <x:c r="R180" s="178"/>
      <x:c r="S180" s="178"/>
      <x:c r="T180" s="178"/>
      <x:c r="U180" s="178"/>
      <x:c r="V180" s="178"/>
      <x:c r="W180" s="178"/>
      <x:c r="X180" s="178"/>
      <x:c r="Y180" s="178"/>
      <x:c r="Z180" s="178"/>
    </x:row>
    <x:row r="181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8"/>
      <x:c r="N181" s="178"/>
      <x:c r="O181" s="178"/>
      <x:c r="P181" s="178"/>
      <x:c r="Q181" s="178"/>
      <x:c r="R181" s="178"/>
      <x:c r="S181" s="178"/>
      <x:c r="T181" s="178"/>
      <x:c r="U181" s="178"/>
      <x:c r="V181" s="178"/>
      <x:c r="W181" s="178"/>
      <x:c r="X181" s="178"/>
      <x:c r="Y181" s="178"/>
      <x:c r="Z181" s="178"/>
    </x:row>
    <x:row r="182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8"/>
      <x:c r="N182" s="178"/>
      <x:c r="O182" s="178"/>
      <x:c r="P182" s="178"/>
      <x:c r="Q182" s="178"/>
      <x:c r="R182" s="178"/>
      <x:c r="S182" s="178"/>
      <x:c r="T182" s="178"/>
      <x:c r="U182" s="178"/>
      <x:c r="V182" s="178"/>
      <x:c r="W182" s="178"/>
      <x:c r="X182" s="178"/>
      <x:c r="Y182" s="178"/>
      <x:c r="Z182" s="178"/>
    </x:row>
    <x:row r="183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8"/>
      <x:c r="N183" s="178"/>
      <x:c r="O183" s="178"/>
      <x:c r="P183" s="178"/>
      <x:c r="Q183" s="178"/>
      <x:c r="R183" s="178"/>
      <x:c r="S183" s="178"/>
      <x:c r="T183" s="178"/>
      <x:c r="U183" s="178"/>
      <x:c r="V183" s="178"/>
      <x:c r="W183" s="178"/>
      <x:c r="X183" s="178"/>
      <x:c r="Y183" s="178"/>
      <x:c r="Z183" s="178"/>
    </x:row>
    <x:row r="184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8"/>
      <x:c r="N184" s="178"/>
      <x:c r="O184" s="178"/>
      <x:c r="P184" s="178"/>
      <x:c r="Q184" s="178"/>
      <x:c r="R184" s="178"/>
      <x:c r="S184" s="178"/>
      <x:c r="T184" s="178"/>
      <x:c r="U184" s="178"/>
      <x:c r="V184" s="178"/>
      <x:c r="W184" s="178"/>
      <x:c r="X184" s="178"/>
      <x:c r="Y184" s="178"/>
      <x:c r="Z184" s="178"/>
    </x:row>
    <x:row r="18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8"/>
      <x:c r="N185" s="178"/>
      <x:c r="O185" s="178"/>
      <x:c r="P185" s="178"/>
      <x:c r="Q185" s="178"/>
      <x:c r="R185" s="178"/>
      <x:c r="S185" s="178"/>
      <x:c r="T185" s="178"/>
      <x:c r="U185" s="178"/>
      <x:c r="V185" s="178"/>
      <x:c r="W185" s="178"/>
      <x:c r="X185" s="178"/>
      <x:c r="Y185" s="178"/>
      <x:c r="Z185" s="178"/>
    </x:row>
    <x:row r="186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8"/>
      <x:c r="N186" s="178"/>
      <x:c r="O186" s="178"/>
      <x:c r="P186" s="178"/>
      <x:c r="Q186" s="178"/>
      <x:c r="R186" s="178"/>
      <x:c r="S186" s="178"/>
      <x:c r="T186" s="178"/>
      <x:c r="U186" s="178"/>
      <x:c r="V186" s="178"/>
      <x:c r="W186" s="178"/>
      <x:c r="X186" s="178"/>
      <x:c r="Y186" s="178"/>
      <x:c r="Z186" s="178"/>
    </x:row>
    <x:row r="187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8"/>
      <x:c r="N187" s="178"/>
      <x:c r="O187" s="178"/>
      <x:c r="P187" s="178"/>
      <x:c r="Q187" s="178"/>
      <x:c r="R187" s="178"/>
      <x:c r="S187" s="178"/>
      <x:c r="T187" s="178"/>
      <x:c r="U187" s="178"/>
      <x:c r="V187" s="178"/>
      <x:c r="W187" s="178"/>
      <x:c r="X187" s="178"/>
      <x:c r="Y187" s="178"/>
      <x:c r="Z187" s="178"/>
    </x:row>
    <x:row r="188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8"/>
      <x:c r="N188" s="178"/>
      <x:c r="O188" s="178"/>
      <x:c r="P188" s="178"/>
      <x:c r="Q188" s="178"/>
      <x:c r="R188" s="178"/>
      <x:c r="S188" s="178"/>
      <x:c r="T188" s="178"/>
      <x:c r="U188" s="178"/>
      <x:c r="V188" s="178"/>
      <x:c r="W188" s="178"/>
      <x:c r="X188" s="178"/>
      <x:c r="Y188" s="178"/>
      <x:c r="Z188" s="178"/>
    </x:row>
    <x:row r="189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8"/>
      <x:c r="N189" s="178"/>
      <x:c r="O189" s="178"/>
      <x:c r="P189" s="178"/>
      <x:c r="Q189" s="178"/>
      <x:c r="R189" s="178"/>
      <x:c r="S189" s="178"/>
      <x:c r="T189" s="178"/>
      <x:c r="U189" s="178"/>
      <x:c r="V189" s="178"/>
      <x:c r="W189" s="178"/>
      <x:c r="X189" s="178"/>
      <x:c r="Y189" s="178"/>
      <x:c r="Z189" s="178"/>
    </x:row>
    <x:row r="190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8"/>
      <x:c r="N190" s="178"/>
      <x:c r="O190" s="178"/>
      <x:c r="P190" s="178"/>
      <x:c r="Q190" s="178"/>
      <x:c r="R190" s="178"/>
      <x:c r="S190" s="178"/>
      <x:c r="T190" s="178"/>
      <x:c r="U190" s="178"/>
      <x:c r="V190" s="178"/>
      <x:c r="W190" s="178"/>
      <x:c r="X190" s="178"/>
      <x:c r="Y190" s="178"/>
      <x:c r="Z190" s="178"/>
    </x:row>
    <x:row r="191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8"/>
      <x:c r="N191" s="178"/>
      <x:c r="O191" s="178"/>
      <x:c r="P191" s="178"/>
      <x:c r="Q191" s="178"/>
      <x:c r="R191" s="178"/>
      <x:c r="S191" s="178"/>
      <x:c r="T191" s="178"/>
      <x:c r="U191" s="178"/>
      <x:c r="V191" s="178"/>
      <x:c r="W191" s="178"/>
      <x:c r="X191" s="178"/>
      <x:c r="Y191" s="178"/>
      <x:c r="Z191" s="178"/>
    </x:row>
    <x:row r="192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8"/>
      <x:c r="N192" s="178"/>
      <x:c r="O192" s="178"/>
      <x:c r="P192" s="178"/>
      <x:c r="Q192" s="178"/>
      <x:c r="R192" s="178"/>
      <x:c r="S192" s="178"/>
      <x:c r="T192" s="178"/>
      <x:c r="U192" s="178"/>
      <x:c r="V192" s="178"/>
      <x:c r="W192" s="178"/>
      <x:c r="X192" s="178"/>
      <x:c r="Y192" s="178"/>
      <x:c r="Z192" s="178"/>
    </x:row>
    <x:row r="193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8"/>
      <x:c r="N193" s="178"/>
      <x:c r="O193" s="178"/>
      <x:c r="P193" s="178"/>
      <x:c r="Q193" s="178"/>
      <x:c r="R193" s="178"/>
      <x:c r="S193" s="178"/>
      <x:c r="T193" s="178"/>
      <x:c r="U193" s="178"/>
      <x:c r="V193" s="178"/>
      <x:c r="W193" s="178"/>
      <x:c r="X193" s="178"/>
      <x:c r="Y193" s="178"/>
      <x:c r="Z193" s="178"/>
    </x:row>
    <x:row r="194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8"/>
      <x:c r="N194" s="178"/>
      <x:c r="O194" s="178"/>
      <x:c r="P194" s="178"/>
      <x:c r="Q194" s="178"/>
      <x:c r="R194" s="178"/>
      <x:c r="S194" s="178"/>
      <x:c r="T194" s="178"/>
      <x:c r="U194" s="178"/>
      <x:c r="V194" s="178"/>
      <x:c r="W194" s="178"/>
      <x:c r="X194" s="178"/>
      <x:c r="Y194" s="178"/>
      <x:c r="Z194" s="178"/>
    </x:row>
    <x:row r="19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8"/>
      <x:c r="N195" s="178"/>
      <x:c r="O195" s="178"/>
      <x:c r="P195" s="178"/>
      <x:c r="Q195" s="178"/>
      <x:c r="R195" s="178"/>
      <x:c r="S195" s="178"/>
      <x:c r="T195" s="178"/>
      <x:c r="U195" s="178"/>
      <x:c r="V195" s="178"/>
      <x:c r="W195" s="178"/>
      <x:c r="X195" s="178"/>
      <x:c r="Y195" s="178"/>
      <x:c r="Z195" s="178"/>
    </x:row>
    <x:row r="196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8"/>
      <x:c r="N196" s="178"/>
      <x:c r="O196" s="178"/>
      <x:c r="P196" s="178"/>
      <x:c r="Q196" s="178"/>
      <x:c r="R196" s="178"/>
      <x:c r="S196" s="178"/>
      <x:c r="T196" s="178"/>
      <x:c r="U196" s="178"/>
      <x:c r="V196" s="178"/>
      <x:c r="W196" s="178"/>
      <x:c r="X196" s="178"/>
      <x:c r="Y196" s="178"/>
      <x:c r="Z196" s="178"/>
    </x:row>
    <x:row r="197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8"/>
      <x:c r="N197" s="178"/>
      <x:c r="O197" s="178"/>
      <x:c r="P197" s="178"/>
      <x:c r="Q197" s="178"/>
      <x:c r="R197" s="178"/>
      <x:c r="S197" s="178"/>
      <x:c r="T197" s="178"/>
      <x:c r="U197" s="178"/>
      <x:c r="V197" s="178"/>
      <x:c r="W197" s="178"/>
      <x:c r="X197" s="178"/>
      <x:c r="Y197" s="178"/>
      <x:c r="Z197" s="178"/>
    </x:row>
    <x:row r="198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8"/>
      <x:c r="N198" s="178"/>
      <x:c r="O198" s="178"/>
      <x:c r="P198" s="178"/>
      <x:c r="Q198" s="178"/>
      <x:c r="R198" s="178"/>
      <x:c r="S198" s="178"/>
      <x:c r="T198" s="178"/>
      <x:c r="U198" s="178"/>
      <x:c r="V198" s="178"/>
      <x:c r="W198" s="178"/>
      <x:c r="X198" s="178"/>
      <x:c r="Y198" s="178"/>
      <x:c r="Z198" s="178"/>
    </x:row>
    <x:row r="199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8"/>
      <x:c r="N199" s="178"/>
      <x:c r="O199" s="178"/>
      <x:c r="P199" s="178"/>
      <x:c r="Q199" s="178"/>
      <x:c r="R199" s="178"/>
      <x:c r="S199" s="178"/>
      <x:c r="T199" s="178"/>
      <x:c r="U199" s="178"/>
      <x:c r="V199" s="178"/>
      <x:c r="W199" s="178"/>
      <x:c r="X199" s="178"/>
      <x:c r="Y199" s="178"/>
      <x:c r="Z199" s="178"/>
    </x:row>
    <x:row r="200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8"/>
      <x:c r="N200" s="178"/>
      <x:c r="O200" s="178"/>
      <x:c r="P200" s="178"/>
      <x:c r="Q200" s="178"/>
      <x:c r="R200" s="178"/>
      <x:c r="S200" s="178"/>
      <x:c r="T200" s="178"/>
      <x:c r="U200" s="178"/>
      <x:c r="V200" s="178"/>
      <x:c r="W200" s="178"/>
      <x:c r="X200" s="178"/>
      <x:c r="Y200" s="178"/>
      <x:c r="Z200" s="178"/>
    </x:row>
  </x:sheetData>
  <x:pageMargins left="0.7" right="0.7" top="0.75" bottom="0.75" header="0.3" footer="0.3"/>
</x:worksheet>
</file>